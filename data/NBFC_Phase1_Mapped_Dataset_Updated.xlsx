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kthishatvika.S.A\Downloads\EFI_Credit_Automation\data\"/>
    </mc:Choice>
  </mc:AlternateContent>
  <xr:revisionPtr revIDLastSave="0" documentId="13_ncr:1_{11BA2F78-301D-46F4-AC36-632A4E27AA5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hase1_NBFC_Data" sheetId="1" r:id="rId1"/>
    <sheet name="Summary Dashboard" sheetId="2" r:id="rId2"/>
    <sheet name="Data Notes &amp; Sourc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5" i="1" l="1"/>
  <c r="W25" i="1"/>
  <c r="V25" i="1"/>
  <c r="Y24" i="1"/>
  <c r="W24" i="1"/>
  <c r="V24" i="1"/>
  <c r="Y23" i="1"/>
  <c r="W23" i="1"/>
  <c r="V23" i="1"/>
  <c r="Y22" i="1"/>
  <c r="W22" i="1"/>
  <c r="V22" i="1"/>
  <c r="Y21" i="1"/>
  <c r="W21" i="1"/>
  <c r="V21" i="1"/>
  <c r="Y20" i="1"/>
  <c r="W20" i="1"/>
  <c r="V20" i="1"/>
  <c r="Y19" i="1"/>
  <c r="W19" i="1"/>
  <c r="V19" i="1"/>
  <c r="Y18" i="1"/>
  <c r="W18" i="1"/>
  <c r="V18" i="1"/>
  <c r="Y17" i="1"/>
  <c r="W17" i="1"/>
  <c r="V17" i="1"/>
  <c r="Y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W11" i="1"/>
  <c r="V11" i="1"/>
  <c r="Y10" i="1"/>
  <c r="W10" i="1"/>
  <c r="V10" i="1"/>
  <c r="Y9" i="1"/>
  <c r="W9" i="1"/>
  <c r="V9" i="1"/>
  <c r="Y8" i="1"/>
  <c r="W8" i="1"/>
  <c r="V8" i="1"/>
  <c r="Y7" i="1"/>
  <c r="W7" i="1"/>
  <c r="V7" i="1"/>
  <c r="Y6" i="1"/>
  <c r="X6" i="1"/>
  <c r="W6" i="1"/>
  <c r="V6" i="1"/>
  <c r="Y5" i="1"/>
  <c r="W5" i="1"/>
  <c r="V5" i="1"/>
  <c r="Y4" i="1"/>
  <c r="W4" i="1"/>
  <c r="V4" i="1"/>
  <c r="Y3" i="1"/>
  <c r="W3" i="1"/>
  <c r="V3" i="1"/>
  <c r="Y2" i="1"/>
  <c r="X2" i="1"/>
  <c r="W2" i="1"/>
  <c r="V2" i="1"/>
</calcChain>
</file>

<file path=xl/sharedStrings.xml><?xml version="1.0" encoding="utf-8"?>
<sst xmlns="http://schemas.openxmlformats.org/spreadsheetml/2006/main" count="458" uniqueCount="161">
  <si>
    <t>Company Name</t>
  </si>
  <si>
    <t>Quarter / Period</t>
  </si>
  <si>
    <t>Financial Year</t>
  </si>
  <si>
    <t>Sector / Sub-sector</t>
  </si>
  <si>
    <t>External Rating</t>
  </si>
  <si>
    <t>Rating Outlook</t>
  </si>
  <si>
    <t>Revenue / Total Income (Cr)</t>
  </si>
  <si>
    <t>Interest / Finance Cost (Cr)</t>
  </si>
  <si>
    <t>Provisions / ECL (Cr)</t>
  </si>
  <si>
    <t>EBIT (Cr)</t>
  </si>
  <si>
    <t>PBT (Cr)</t>
  </si>
  <si>
    <t>PAT / Net Profit (Cr)</t>
  </si>
  <si>
    <t>Total Assets (Cr)</t>
  </si>
  <si>
    <t>Net Worth / Equity (Cr)</t>
  </si>
  <si>
    <t>Total Debt / Borrowings (Cr)</t>
  </si>
  <si>
    <t>Cash &amp; Bank (Cr)</t>
  </si>
  <si>
    <t>AUM / Loan Book (Cr)</t>
  </si>
  <si>
    <t>GNPA (%)</t>
  </si>
  <si>
    <t>NNPA (%)</t>
  </si>
  <si>
    <t>Provision Coverage (PCR %)</t>
  </si>
  <si>
    <t>Collection Efficiency (%)</t>
  </si>
  <si>
    <t>ROA (%) [=PAT/TotalAssets]</t>
  </si>
  <si>
    <t>ROE (%) [=PAT/NetWorth]</t>
  </si>
  <si>
    <t>Debt/Equity (x) [=TotalDebt/NetWorth]</t>
  </si>
  <si>
    <t>Interest Coverage (x) [=EBIT/IntExp]</t>
  </si>
  <si>
    <t>CAR / CRAR (%)</t>
  </si>
  <si>
    <t>Credit Score (0-100)</t>
  </si>
  <si>
    <t>Risk Category</t>
  </si>
  <si>
    <t>Annapurna Finance Pvt Ltd</t>
  </si>
  <si>
    <t>FY25 Annual</t>
  </si>
  <si>
    <t>FY2025</t>
  </si>
  <si>
    <t>MFI</t>
  </si>
  <si>
    <t>A- (Stable)</t>
  </si>
  <si>
    <t>Stable</t>
  </si>
  <si>
    <t>Moderate Risk</t>
  </si>
  <si>
    <t>Q1 FY26</t>
  </si>
  <si>
    <t>FY2026</t>
  </si>
  <si>
    <t>Critical Risk</t>
  </si>
  <si>
    <t>Q2 FY26</t>
  </si>
  <si>
    <t>High Risk</t>
  </si>
  <si>
    <t>Q3 FY26</t>
  </si>
  <si>
    <t>Q4 FY26</t>
  </si>
  <si>
    <t>Muthoot Microfin Ltd</t>
  </si>
  <si>
    <t>A+ (Stable)</t>
  </si>
  <si>
    <t>FY26 Annual</t>
  </si>
  <si>
    <t>Low Risk</t>
  </si>
  <si>
    <t>Baid Finserv Ltd</t>
  </si>
  <si>
    <t>Vehicle Finance / LAP</t>
  </si>
  <si>
    <t>BBB+ (Stable)</t>
  </si>
  <si>
    <t>Manba Finance Ltd</t>
  </si>
  <si>
    <t>FY24 Annual</t>
  </si>
  <si>
    <t>FY2024</t>
  </si>
  <si>
    <t>Vehicle Finance</t>
  </si>
  <si>
    <t>Five Star Business Finance Ltd</t>
  </si>
  <si>
    <t>MSME Finance</t>
  </si>
  <si>
    <t>AA- (Stable)</t>
  </si>
  <si>
    <t>NBFC PHASE 1 – QUARTERLY CREDIT MONITORING DASHBOARD</t>
  </si>
  <si>
    <t>5 Companies | All amounts ₹ Crores | Sources: Quarterly Results, Annual Reports FY24-FY26</t>
  </si>
  <si>
    <t>Company</t>
  </si>
  <si>
    <t>Period</t>
  </si>
  <si>
    <t>Sector</t>
  </si>
  <si>
    <t>Rating</t>
  </si>
  <si>
    <t>Revenue (Cr)</t>
  </si>
  <si>
    <t>PAT (Cr)</t>
  </si>
  <si>
    <t>Net Worth (Cr)</t>
  </si>
  <si>
    <t>Total Debt (Cr)</t>
  </si>
  <si>
    <t>AUM (Cr)</t>
  </si>
  <si>
    <t>GNPA %</t>
  </si>
  <si>
    <t>CAR %</t>
  </si>
  <si>
    <t>D/E (x)</t>
  </si>
  <si>
    <t>Field</t>
  </si>
  <si>
    <t>Description</t>
  </si>
  <si>
    <t>Unit</t>
  </si>
  <si>
    <t>Source</t>
  </si>
  <si>
    <t>company_name</t>
  </si>
  <si>
    <t>Full legal name of NBFC</t>
  </si>
  <si>
    <t>Text</t>
  </si>
  <si>
    <t>Annual/Quarterly Reports</t>
  </si>
  <si>
    <t>quarter</t>
  </si>
  <si>
    <t>Period e.g. FY25 Annual, Q1 FY26</t>
  </si>
  <si>
    <t>Filing dates</t>
  </si>
  <si>
    <t>revenue</t>
  </si>
  <si>
    <t>Total Income incl interest + other income</t>
  </si>
  <si>
    <t>₹ Crores</t>
  </si>
  <si>
    <t>P&amp;L Statement</t>
  </si>
  <si>
    <t>interest_expense</t>
  </si>
  <si>
    <t>Finance Cost / Borrowing Cost</t>
  </si>
  <si>
    <t>provisions</t>
  </si>
  <si>
    <t>ECL Provision / Impairment on fin. instruments</t>
  </si>
  <si>
    <t>ebit</t>
  </si>
  <si>
    <t>PBT + Interest Expense (approx EBIT)</t>
  </si>
  <si>
    <t>Calculated</t>
  </si>
  <si>
    <t>pbt</t>
  </si>
  <si>
    <t>Profit Before Tax</t>
  </si>
  <si>
    <t>pat</t>
  </si>
  <si>
    <t>Profit After Tax / Net Profit</t>
  </si>
  <si>
    <t>total_assets</t>
  </si>
  <si>
    <t>Total Balance Sheet Size</t>
  </si>
  <si>
    <t>Balance Sheet</t>
  </si>
  <si>
    <t>net_worth</t>
  </si>
  <si>
    <t>Total Equity / Shareholders Funds</t>
  </si>
  <si>
    <t>total_debt</t>
  </si>
  <si>
    <t>Total Borrowings (Debt Securities + Other Borrowings)</t>
  </si>
  <si>
    <t>cash_and_bank</t>
  </si>
  <si>
    <t>Cash + Bank Balances (incl FDs)</t>
  </si>
  <si>
    <t>aum</t>
  </si>
  <si>
    <t>Gross Loan Portfolio / Assets Under Management</t>
  </si>
  <si>
    <t>AR / Investor Deck</t>
  </si>
  <si>
    <t>gnpa_pct</t>
  </si>
  <si>
    <t>Gross NPA % (or Gross Stage 3 Ratio for Ind-AS)</t>
  </si>
  <si>
    <t>%</t>
  </si>
  <si>
    <t>Regulatory Disclosures</t>
  </si>
  <si>
    <t>nnpa_pct</t>
  </si>
  <si>
    <t>Net NPA % (or Net Stage 3 Ratio)</t>
  </si>
  <si>
    <t>pcr</t>
  </si>
  <si>
    <t>Provision Coverage Ratio</t>
  </si>
  <si>
    <t>collection_efficiency</t>
  </si>
  <si>
    <t>X-Bucket / Monthly Collection Efficiency</t>
  </si>
  <si>
    <t>car</t>
  </si>
  <si>
    <t>Capital Adequacy Ratio (CRAR) as reported to RBI</t>
  </si>
  <si>
    <t>roa</t>
  </si>
  <si>
    <t>Return on Assets = PAT/Total Assets × 100 (formula in Excel)</t>
  </si>
  <si>
    <t>roe</t>
  </si>
  <si>
    <t>Return on Equity = PAT/Net Worth × 100 (formula in Excel)</t>
  </si>
  <si>
    <t>debt_equity</t>
  </si>
  <si>
    <t>Debt to Equity = Total Debt / Net Worth (formula in Excel)</t>
  </si>
  <si>
    <t>Times</t>
  </si>
  <si>
    <t>interest_coverage</t>
  </si>
  <si>
    <t>Interest Coverage = EBIT / Interest Expense (formula)</t>
  </si>
  <si>
    <t>credit_score</t>
  </si>
  <si>
    <t>Rule-based credit score (0-100)</t>
  </si>
  <si>
    <t>Score</t>
  </si>
  <si>
    <t>risk_category</t>
  </si>
  <si>
    <t>Low/Moderate/High/Critical Risk</t>
  </si>
  <si>
    <t>Category</t>
  </si>
  <si>
    <t>COMPANIES INCLUDED</t>
  </si>
  <si>
    <t>1. Annapurna Finance Pvt Ltd</t>
  </si>
  <si>
    <t>NBFC-MFI, Bhubaneswar. Ratings: CRISIL/ICRA/CARE A-(Stable)</t>
  </si>
  <si>
    <t>Annual Report 2025, Q1-Q4 FY26 Quarterly Results</t>
  </si>
  <si>
    <t>2. Muthoot Microfin Ltd</t>
  </si>
  <si>
    <t>NBFC-MFI, Mumbai. Listed. CRISIL A+ Stable</t>
  </si>
  <si>
    <t>C2C AR FY25, Q1 &amp; Q4 FY26 Quarterly Results</t>
  </si>
  <si>
    <t>3. Baid Finserv Ltd</t>
  </si>
  <si>
    <t>NBFC-BL, Jaipur. Vehicle/LAP finance. Listed BSE/NSE</t>
  </si>
  <si>
    <t>AR FY25, H1 FY26 Quarterly Results</t>
  </si>
  <si>
    <t>4. Manba Finance Ltd</t>
  </si>
  <si>
    <t>NBFC-ND-SI, Mumbai. 2W/3W/EV. Listed Sep 2024</t>
  </si>
  <si>
    <t>AR FY24 &amp; FY25 (full Balance Sheet + P&amp;L)</t>
  </si>
  <si>
    <t>5. Five Star Business Finance Ltd</t>
  </si>
  <si>
    <t>NBFC-ND-SI, Chennai. MSME loans. CRISIL AA- Stable</t>
  </si>
  <si>
    <t>Q4 FY26 Annual Audited Results</t>
  </si>
  <si>
    <t>NOTES ON DATA</t>
  </si>
  <si>
    <t>All monetary values in ₹ CRORES</t>
  </si>
  <si>
    <t>Annapurna: Original data in ₹ Lakhs, divided by 100</t>
  </si>
  <si>
    <t>Muthoot: Original data in ₹ Millions, divided by 10</t>
  </si>
  <si>
    <t>Baid/Manba: Original data in ₹ Lakhs, divided by 100</t>
  </si>
  <si>
    <t>Five Star: Original data in ₹ Lakhs, divided by 100</t>
  </si>
  <si>
    <t>Ratios (ROA, ROE, D/E, Interest Coverage) computed via Excel formulas in-cell</t>
  </si>
  <si>
    <t>Blank cells = data not available in source documents for that period</t>
  </si>
  <si>
    <t>Annapurna FY25 GNPA/NPA are estimates from trend analysis (not directly stated in AR2025)</t>
  </si>
  <si>
    <t>Baid Finserv: Base Layer NBFC - CAR/GNPA not separately disclosed in filings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</si>
</sst>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-"/>
    <numFmt numFmtId="165" formatCode="0.00;\-0.00;\-"/>
    <numFmt numFmtId="166" formatCode="0.00;\(0.00\);\-"/>
    <numFmt numFmtId="167" formatCode="0.00\x;\-0.00\x;\-"/>
  </numFmts>
  <fonts count="11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sz val="9"/>
      <color rgb="FFAAAAAA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Cambria"/>
      <family val="1"/>
    </font>
    <font>
      <b/>
      <sz val="9"/>
      <name val="Cambria"/>
      <family val="1"/>
    </font>
    <font>
      <i/>
      <sz val="9"/>
      <color rgb="FF444444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55B35"/>
      </patternFill>
    </fill>
    <fill>
      <patternFill patternType="solid">
        <fgColor rgb="FF2E75B6"/>
        <bgColor rgb="FF0066CC"/>
      </patternFill>
    </fill>
    <fill>
      <patternFill patternType="solid">
        <fgColor rgb="FFE8F8F0"/>
        <bgColor rgb="FFE3F2FD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6600"/>
        <bgColor rgb="FFFF9900"/>
      </patternFill>
    </fill>
    <fill>
      <patternFill patternType="solid">
        <fgColor rgb="FFFFF3E0"/>
        <bgColor rgb="FFFFF9C4"/>
      </patternFill>
    </fill>
    <fill>
      <patternFill patternType="solid">
        <fgColor rgb="FF00B050"/>
        <bgColor rgb="FF008080"/>
      </patternFill>
    </fill>
    <fill>
      <patternFill patternType="solid">
        <fgColor rgb="FFF3E5F5"/>
        <bgColor rgb="FFE3F2FD"/>
      </patternFill>
    </fill>
    <fill>
      <patternFill patternType="solid">
        <fgColor rgb="FFE3F2FD"/>
        <bgColor rgb="FFE8F8F0"/>
      </patternFill>
    </fill>
    <fill>
      <patternFill patternType="solid">
        <fgColor rgb="FFFFF9C4"/>
        <bgColor rgb="FFFFF3E0"/>
      </patternFill>
    </fill>
    <fill>
      <patternFill patternType="solid">
        <fgColor rgb="FF155B35"/>
        <bgColor rgb="FF1F4E7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167" fontId="4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6" fontId="4" fillId="11" borderId="1" xfId="0" applyNumberFormat="1" applyFont="1" applyFill="1" applyBorder="1" applyAlignment="1">
      <alignment horizontal="center" vertical="center"/>
    </xf>
    <xf numFmtId="167" fontId="3" fillId="11" borderId="1" xfId="0" applyNumberFormat="1" applyFont="1" applyFill="1" applyBorder="1" applyAlignment="1">
      <alignment horizontal="center" vertical="center"/>
    </xf>
    <xf numFmtId="167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6" fontId="4" fillId="12" borderId="1" xfId="0" applyNumberFormat="1" applyFont="1" applyFill="1" applyBorder="1" applyAlignment="1">
      <alignment horizontal="center" vertical="center"/>
    </xf>
    <xf numFmtId="167" fontId="3" fillId="12" borderId="1" xfId="0" applyNumberFormat="1" applyFont="1" applyFill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8" fillId="1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5B35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F0"/>
      <rgbColor rgb="FFF3E5F5"/>
      <rgbColor rgb="FFFFF3E0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55555"/>
      <rgbColor rgb="FFAAAAAA"/>
      <rgbColor rgb="FF003366"/>
      <rgbColor rgb="FF00B050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sqref="A1:XFD1"/>
    </sheetView>
  </sheetViews>
  <sheetFormatPr defaultColWidth="8.6640625" defaultRowHeight="14.4" x14ac:dyDescent="0.3"/>
  <cols>
    <col min="1" max="1" width="28" customWidth="1"/>
    <col min="2" max="2" width="14" customWidth="1"/>
    <col min="3" max="3" width="10" customWidth="1"/>
    <col min="4" max="4" width="22" customWidth="1"/>
    <col min="5" max="5" width="16" customWidth="1"/>
    <col min="6" max="6" width="10" customWidth="1"/>
    <col min="7" max="8" width="14" customWidth="1"/>
    <col min="9" max="9" width="13" customWidth="1"/>
    <col min="10" max="12" width="12" customWidth="1"/>
    <col min="13" max="15" width="14" customWidth="1"/>
    <col min="16" max="16" width="12" customWidth="1"/>
    <col min="17" max="17" width="14" customWidth="1"/>
    <col min="18" max="19" width="10" customWidth="1"/>
    <col min="20" max="20" width="12" customWidth="1"/>
    <col min="21" max="21" width="16" customWidth="1"/>
    <col min="22" max="24" width="12" customWidth="1"/>
    <col min="25" max="25" width="14" customWidth="1"/>
    <col min="26" max="26" width="10" customWidth="1"/>
    <col min="27" max="28" width="14" customWidth="1"/>
  </cols>
  <sheetData>
    <row r="1" spans="1:28" ht="39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8" customHeight="1" x14ac:dyDescent="0.3">
      <c r="A2" s="4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6">
        <v>2183.2600000000002</v>
      </c>
      <c r="H2" s="6">
        <v>838.91</v>
      </c>
      <c r="I2" s="6">
        <v>388.78</v>
      </c>
      <c r="J2" s="6">
        <v>929.39</v>
      </c>
      <c r="K2" s="6">
        <v>90.48</v>
      </c>
      <c r="L2" s="6">
        <v>90.48</v>
      </c>
      <c r="M2" s="6">
        <v>8838.1299999999992</v>
      </c>
      <c r="N2" s="6">
        <v>599.54</v>
      </c>
      <c r="O2" s="6">
        <v>7478.15</v>
      </c>
      <c r="P2" s="6">
        <v>497.72</v>
      </c>
      <c r="Q2" s="6">
        <v>11034.12</v>
      </c>
      <c r="R2" s="7">
        <v>4.5</v>
      </c>
      <c r="S2" s="7">
        <v>2.1</v>
      </c>
      <c r="T2" s="7">
        <v>55</v>
      </c>
      <c r="U2" s="7">
        <v>91</v>
      </c>
      <c r="V2" s="8">
        <f t="shared" ref="V2:V25" si="0">IF(AND(L2&lt;&gt;"",M2&lt;&gt;""),L2/M2*100,"")</f>
        <v>1.0237459734129279</v>
      </c>
      <c r="W2" s="8">
        <f t="shared" ref="W2:W25" si="1">IF(AND(L2&lt;&gt;"",N2&lt;&gt;""),L2/N2*100,"")</f>
        <v>15.091570203822933</v>
      </c>
      <c r="X2" s="9">
        <f>IF(AND(O2&lt;&gt;"",N2&lt;&gt;""),O2/N2,"")</f>
        <v>12.473146078660307</v>
      </c>
      <c r="Y2" s="9">
        <f t="shared" ref="Y2:Y25" si="2">IF(AND(J2&lt;&gt;"",H2&lt;&gt;""),J2/H2,"")</f>
        <v>1.1078542394297362</v>
      </c>
      <c r="Z2" s="6">
        <v>17.5</v>
      </c>
      <c r="AA2" s="10">
        <v>55</v>
      </c>
      <c r="AB2" s="11" t="s">
        <v>34</v>
      </c>
    </row>
    <row r="3" spans="1:28" ht="18" customHeight="1" x14ac:dyDescent="0.3">
      <c r="A3" s="4" t="s">
        <v>28</v>
      </c>
      <c r="B3" s="5" t="s">
        <v>35</v>
      </c>
      <c r="C3" s="5" t="s">
        <v>36</v>
      </c>
      <c r="D3" s="5" t="s">
        <v>31</v>
      </c>
      <c r="E3" s="5" t="s">
        <v>32</v>
      </c>
      <c r="F3" s="5" t="s">
        <v>33</v>
      </c>
      <c r="G3" s="6">
        <v>515.28</v>
      </c>
      <c r="H3" s="6">
        <v>209.49</v>
      </c>
      <c r="I3" s="6">
        <v>64.989999999999995</v>
      </c>
      <c r="J3" s="6">
        <v>219.3</v>
      </c>
      <c r="K3" s="6">
        <v>9.81</v>
      </c>
      <c r="L3" s="6">
        <v>7.3</v>
      </c>
      <c r="M3" s="12"/>
      <c r="N3" s="6">
        <v>1671.38</v>
      </c>
      <c r="O3" s="12"/>
      <c r="P3" s="12"/>
      <c r="Q3" s="12"/>
      <c r="R3" s="12"/>
      <c r="S3" s="12"/>
      <c r="T3" s="12"/>
      <c r="U3" s="12"/>
      <c r="V3" s="8" t="str">
        <f t="shared" si="0"/>
        <v/>
      </c>
      <c r="W3" s="8">
        <f t="shared" si="1"/>
        <v>0.43676482906340863</v>
      </c>
      <c r="X3" s="13">
        <v>4.46</v>
      </c>
      <c r="Y3" s="9">
        <f t="shared" si="2"/>
        <v>1.0468280108835744</v>
      </c>
      <c r="Z3" s="12"/>
      <c r="AA3" s="10">
        <v>29.5</v>
      </c>
      <c r="AB3" s="14" t="s">
        <v>37</v>
      </c>
    </row>
    <row r="4" spans="1:28" ht="18" customHeight="1" x14ac:dyDescent="0.3">
      <c r="A4" s="4" t="s">
        <v>28</v>
      </c>
      <c r="B4" s="5" t="s">
        <v>38</v>
      </c>
      <c r="C4" s="5" t="s">
        <v>36</v>
      </c>
      <c r="D4" s="5" t="s">
        <v>31</v>
      </c>
      <c r="E4" s="5" t="s">
        <v>32</v>
      </c>
      <c r="F4" s="5" t="s">
        <v>33</v>
      </c>
      <c r="G4" s="6">
        <v>510.46</v>
      </c>
      <c r="H4" s="6">
        <v>209.04</v>
      </c>
      <c r="I4" s="6">
        <v>68.319999999999993</v>
      </c>
      <c r="J4" s="6">
        <v>216.2</v>
      </c>
      <c r="K4" s="6">
        <v>7.16</v>
      </c>
      <c r="L4" s="6">
        <v>12.63</v>
      </c>
      <c r="M4" s="6">
        <v>9087.83</v>
      </c>
      <c r="N4" s="6">
        <v>1666.77</v>
      </c>
      <c r="O4" s="6">
        <v>7798.09</v>
      </c>
      <c r="P4" s="6">
        <v>647.35</v>
      </c>
      <c r="Q4" s="12"/>
      <c r="R4" s="12"/>
      <c r="S4" s="12"/>
      <c r="T4" s="12"/>
      <c r="U4" s="12"/>
      <c r="V4" s="8">
        <f t="shared" si="0"/>
        <v>0.13897707153412861</v>
      </c>
      <c r="W4" s="8">
        <f t="shared" si="1"/>
        <v>0.75775301931280259</v>
      </c>
      <c r="X4" s="13">
        <v>4.2699999999999996</v>
      </c>
      <c r="Y4" s="9">
        <f t="shared" si="2"/>
        <v>1.0342518178339073</v>
      </c>
      <c r="Z4" s="12"/>
      <c r="AA4" s="10">
        <v>35.5</v>
      </c>
      <c r="AB4" s="15" t="s">
        <v>39</v>
      </c>
    </row>
    <row r="5" spans="1:28" ht="18" customHeight="1" x14ac:dyDescent="0.3">
      <c r="A5" s="4" t="s">
        <v>28</v>
      </c>
      <c r="B5" s="5" t="s">
        <v>40</v>
      </c>
      <c r="C5" s="5" t="s">
        <v>36</v>
      </c>
      <c r="D5" s="5" t="s">
        <v>31</v>
      </c>
      <c r="E5" s="5" t="s">
        <v>32</v>
      </c>
      <c r="F5" s="5" t="s">
        <v>33</v>
      </c>
      <c r="G5" s="6">
        <v>509.95</v>
      </c>
      <c r="H5" s="6">
        <v>202.16</v>
      </c>
      <c r="I5" s="6">
        <v>60.31</v>
      </c>
      <c r="J5" s="6">
        <v>207.16</v>
      </c>
      <c r="K5" s="6">
        <v>5</v>
      </c>
      <c r="L5" s="6">
        <v>16.28</v>
      </c>
      <c r="M5" s="12"/>
      <c r="N5" s="6">
        <v>1681.68</v>
      </c>
      <c r="O5" s="12"/>
      <c r="P5" s="12"/>
      <c r="Q5" s="12"/>
      <c r="R5" s="12"/>
      <c r="S5" s="12"/>
      <c r="T5" s="12"/>
      <c r="U5" s="12"/>
      <c r="V5" s="8" t="str">
        <f t="shared" si="0"/>
        <v/>
      </c>
      <c r="W5" s="8">
        <f t="shared" si="1"/>
        <v>0.96807953950811088</v>
      </c>
      <c r="X5" s="13">
        <v>4.3</v>
      </c>
      <c r="Y5" s="9">
        <f t="shared" si="2"/>
        <v>1.0247328848436881</v>
      </c>
      <c r="Z5" s="12"/>
      <c r="AA5" s="10">
        <v>29.5</v>
      </c>
      <c r="AB5" s="14" t="s">
        <v>37</v>
      </c>
    </row>
    <row r="6" spans="1:28" ht="18" customHeight="1" x14ac:dyDescent="0.3">
      <c r="A6" s="4" t="s">
        <v>28</v>
      </c>
      <c r="B6" s="5" t="s">
        <v>41</v>
      </c>
      <c r="C6" s="5" t="s">
        <v>36</v>
      </c>
      <c r="D6" s="5" t="s">
        <v>31</v>
      </c>
      <c r="E6" s="5" t="s">
        <v>32</v>
      </c>
      <c r="F6" s="5" t="s">
        <v>33</v>
      </c>
      <c r="G6" s="6">
        <v>509.78</v>
      </c>
      <c r="H6" s="6">
        <v>819.79</v>
      </c>
      <c r="I6" s="6">
        <v>240.79</v>
      </c>
      <c r="J6" s="6">
        <v>860.83</v>
      </c>
      <c r="K6" s="6">
        <v>41.04</v>
      </c>
      <c r="L6" s="6">
        <v>41.04</v>
      </c>
      <c r="M6" s="6">
        <v>9802.69</v>
      </c>
      <c r="N6" s="12"/>
      <c r="O6" s="12"/>
      <c r="P6" s="6">
        <v>291.92</v>
      </c>
      <c r="Q6" s="6">
        <v>11034.12</v>
      </c>
      <c r="R6" s="12"/>
      <c r="S6" s="12"/>
      <c r="T6" s="12"/>
      <c r="U6" s="12"/>
      <c r="V6" s="8">
        <f t="shared" si="0"/>
        <v>0.41866059214358509</v>
      </c>
      <c r="W6" s="8" t="str">
        <f t="shared" si="1"/>
        <v/>
      </c>
      <c r="X6" s="9" t="str">
        <f>IF(AND(O6&lt;&gt;"",N6&lt;&gt;""),O6/N6,"")</f>
        <v/>
      </c>
      <c r="Y6" s="9">
        <f t="shared" si="2"/>
        <v>1.0500616011417558</v>
      </c>
      <c r="Z6" s="12"/>
      <c r="AA6" s="10">
        <v>25</v>
      </c>
      <c r="AB6" s="14" t="s">
        <v>37</v>
      </c>
    </row>
    <row r="7" spans="1:28" ht="18" customHeight="1" x14ac:dyDescent="0.3">
      <c r="A7" s="16" t="s">
        <v>42</v>
      </c>
      <c r="B7" s="17" t="s">
        <v>29</v>
      </c>
      <c r="C7" s="17" t="s">
        <v>30</v>
      </c>
      <c r="D7" s="17" t="s">
        <v>31</v>
      </c>
      <c r="E7" s="17" t="s">
        <v>43</v>
      </c>
      <c r="F7" s="17" t="s">
        <v>33</v>
      </c>
      <c r="G7" s="18">
        <v>2564.4</v>
      </c>
      <c r="H7" s="18">
        <v>930.1</v>
      </c>
      <c r="I7" s="18">
        <v>1042.3</v>
      </c>
      <c r="J7" s="18">
        <v>641.20000000000005</v>
      </c>
      <c r="K7" s="18">
        <v>-288.89999999999998</v>
      </c>
      <c r="L7" s="18">
        <v>-222.5</v>
      </c>
      <c r="M7" s="18">
        <v>10857</v>
      </c>
      <c r="N7" s="18">
        <v>2632.2</v>
      </c>
      <c r="O7" s="18">
        <v>8563.4500000000007</v>
      </c>
      <c r="P7" s="18">
        <v>1169.7</v>
      </c>
      <c r="Q7" s="18">
        <v>12356.7</v>
      </c>
      <c r="R7" s="19">
        <v>4.84</v>
      </c>
      <c r="S7" s="19">
        <v>1.34</v>
      </c>
      <c r="T7" s="19">
        <v>73.319999999999993</v>
      </c>
      <c r="U7" s="19">
        <v>99.5</v>
      </c>
      <c r="V7" s="20">
        <f t="shared" si="0"/>
        <v>-2.0493690706456662</v>
      </c>
      <c r="W7" s="20">
        <f t="shared" si="1"/>
        <v>-8.4530050907985732</v>
      </c>
      <c r="X7" s="21">
        <v>3.01</v>
      </c>
      <c r="Y7" s="22">
        <f t="shared" si="2"/>
        <v>0.68938823782388992</v>
      </c>
      <c r="Z7" s="18">
        <v>27.85</v>
      </c>
      <c r="AA7" s="23">
        <v>44.5</v>
      </c>
      <c r="AB7" s="15" t="s">
        <v>39</v>
      </c>
    </row>
    <row r="8" spans="1:28" ht="18" customHeight="1" x14ac:dyDescent="0.3">
      <c r="A8" s="16" t="s">
        <v>42</v>
      </c>
      <c r="B8" s="17" t="s">
        <v>35</v>
      </c>
      <c r="C8" s="17" t="s">
        <v>36</v>
      </c>
      <c r="D8" s="17" t="s">
        <v>31</v>
      </c>
      <c r="E8" s="17" t="s">
        <v>43</v>
      </c>
      <c r="F8" s="17" t="s">
        <v>33</v>
      </c>
      <c r="G8" s="18">
        <v>559.05999999999995</v>
      </c>
      <c r="H8" s="18">
        <v>209.76</v>
      </c>
      <c r="I8" s="18">
        <v>125.38</v>
      </c>
      <c r="J8" s="18">
        <v>215.27</v>
      </c>
      <c r="K8" s="18">
        <v>5.76</v>
      </c>
      <c r="L8" s="18">
        <v>6.18</v>
      </c>
      <c r="M8" s="24"/>
      <c r="N8" s="18">
        <v>2641.34</v>
      </c>
      <c r="O8" s="24"/>
      <c r="P8" s="24"/>
      <c r="Q8" s="18">
        <v>12252.8</v>
      </c>
      <c r="R8" s="19">
        <v>4.8499999999999996</v>
      </c>
      <c r="S8" s="19">
        <v>1.1100000000000001</v>
      </c>
      <c r="T8" s="19">
        <v>68.540000000000006</v>
      </c>
      <c r="U8" s="24"/>
      <c r="V8" s="20" t="str">
        <f t="shared" si="0"/>
        <v/>
      </c>
      <c r="W8" s="20">
        <f t="shared" si="1"/>
        <v>0.23397215049936773</v>
      </c>
      <c r="X8" s="21">
        <v>2.83</v>
      </c>
      <c r="Y8" s="22">
        <f t="shared" si="2"/>
        <v>1.026268115942029</v>
      </c>
      <c r="Z8" s="18">
        <v>27.85</v>
      </c>
      <c r="AA8" s="23">
        <v>58</v>
      </c>
      <c r="AB8" s="11" t="s">
        <v>34</v>
      </c>
    </row>
    <row r="9" spans="1:28" ht="18" customHeight="1" x14ac:dyDescent="0.3">
      <c r="A9" s="16" t="s">
        <v>42</v>
      </c>
      <c r="B9" s="17" t="s">
        <v>38</v>
      </c>
      <c r="C9" s="17" t="s">
        <v>36</v>
      </c>
      <c r="D9" s="17" t="s">
        <v>31</v>
      </c>
      <c r="E9" s="17" t="s">
        <v>43</v>
      </c>
      <c r="F9" s="17" t="s">
        <v>33</v>
      </c>
      <c r="G9" s="18">
        <v>577.39</v>
      </c>
      <c r="H9" s="18">
        <v>211.31</v>
      </c>
      <c r="I9" s="18">
        <v>111.85</v>
      </c>
      <c r="J9" s="18">
        <v>214.7</v>
      </c>
      <c r="K9" s="18">
        <v>37.11</v>
      </c>
      <c r="L9" s="18">
        <v>30.52</v>
      </c>
      <c r="M9" s="18">
        <v>11492.75</v>
      </c>
      <c r="N9" s="18">
        <v>2702.03</v>
      </c>
      <c r="O9" s="18">
        <v>8487.18</v>
      </c>
      <c r="P9" s="18">
        <v>989.23</v>
      </c>
      <c r="Q9" s="24"/>
      <c r="R9" s="19">
        <v>4.6100000000000003</v>
      </c>
      <c r="S9" s="19">
        <v>1.41</v>
      </c>
      <c r="T9" s="19">
        <v>70.44</v>
      </c>
      <c r="U9" s="24"/>
      <c r="V9" s="20">
        <f t="shared" si="0"/>
        <v>0.26555872180287576</v>
      </c>
      <c r="W9" s="20">
        <f t="shared" si="1"/>
        <v>1.1295211378112011</v>
      </c>
      <c r="X9" s="21">
        <v>3.4</v>
      </c>
      <c r="Y9" s="22">
        <f t="shared" si="2"/>
        <v>1.0160427807486629</v>
      </c>
      <c r="Z9" s="18">
        <v>28.91</v>
      </c>
      <c r="AA9" s="23">
        <v>60</v>
      </c>
      <c r="AB9" s="11" t="s">
        <v>34</v>
      </c>
    </row>
    <row r="10" spans="1:28" ht="18" customHeight="1" x14ac:dyDescent="0.3">
      <c r="A10" s="16" t="s">
        <v>42</v>
      </c>
      <c r="B10" s="17" t="s">
        <v>40</v>
      </c>
      <c r="C10" s="17" t="s">
        <v>36</v>
      </c>
      <c r="D10" s="17" t="s">
        <v>31</v>
      </c>
      <c r="E10" s="17" t="s">
        <v>43</v>
      </c>
      <c r="F10" s="17" t="s">
        <v>33</v>
      </c>
      <c r="G10" s="18">
        <v>605.35</v>
      </c>
      <c r="H10" s="18">
        <v>221.82</v>
      </c>
      <c r="I10" s="18">
        <v>106.21</v>
      </c>
      <c r="J10" s="18">
        <v>222.52</v>
      </c>
      <c r="K10" s="18">
        <v>69.11</v>
      </c>
      <c r="L10" s="18">
        <v>62.44</v>
      </c>
      <c r="M10" s="24"/>
      <c r="N10" s="18">
        <v>2768.32</v>
      </c>
      <c r="O10" s="24"/>
      <c r="P10" s="24"/>
      <c r="Q10" s="24"/>
      <c r="R10" s="19">
        <v>4.4000000000000004</v>
      </c>
      <c r="S10" s="19">
        <v>1.34</v>
      </c>
      <c r="T10" s="19">
        <v>70.45</v>
      </c>
      <c r="U10" s="24"/>
      <c r="V10" s="20" t="str">
        <f t="shared" si="0"/>
        <v/>
      </c>
      <c r="W10" s="20">
        <f t="shared" si="1"/>
        <v>2.2555195931106229</v>
      </c>
      <c r="X10" s="21">
        <v>3.26</v>
      </c>
      <c r="Y10" s="22">
        <f t="shared" si="2"/>
        <v>1.0031557118384276</v>
      </c>
      <c r="Z10" s="18">
        <v>26.44</v>
      </c>
      <c r="AA10" s="23">
        <v>65</v>
      </c>
      <c r="AB10" s="11" t="s">
        <v>34</v>
      </c>
    </row>
    <row r="11" spans="1:28" ht="18" customHeight="1" x14ac:dyDescent="0.3">
      <c r="A11" s="16" t="s">
        <v>42</v>
      </c>
      <c r="B11" s="17" t="s">
        <v>44</v>
      </c>
      <c r="C11" s="17" t="s">
        <v>36</v>
      </c>
      <c r="D11" s="17" t="s">
        <v>31</v>
      </c>
      <c r="E11" s="17" t="s">
        <v>43</v>
      </c>
      <c r="F11" s="17" t="s">
        <v>33</v>
      </c>
      <c r="G11" s="18">
        <v>2340.6</v>
      </c>
      <c r="H11" s="18">
        <v>874.4</v>
      </c>
      <c r="I11" s="18">
        <v>439.3</v>
      </c>
      <c r="J11" s="18">
        <v>1083.3</v>
      </c>
      <c r="K11" s="18">
        <v>208.9</v>
      </c>
      <c r="L11" s="18">
        <v>170.27</v>
      </c>
      <c r="M11" s="18">
        <v>12684.81</v>
      </c>
      <c r="N11" s="18">
        <v>2854.37</v>
      </c>
      <c r="O11" s="18">
        <v>9535.6</v>
      </c>
      <c r="P11" s="18">
        <v>701.75</v>
      </c>
      <c r="Q11" s="24"/>
      <c r="R11" s="19">
        <v>3.89</v>
      </c>
      <c r="S11" s="19">
        <v>1.1399999999999999</v>
      </c>
      <c r="T11" s="19">
        <v>71.53</v>
      </c>
      <c r="U11" s="24"/>
      <c r="V11" s="20">
        <f t="shared" si="0"/>
        <v>1.3423141537003709</v>
      </c>
      <c r="W11" s="20">
        <f t="shared" si="1"/>
        <v>5.9652392647063985</v>
      </c>
      <c r="X11" s="21">
        <v>3.34</v>
      </c>
      <c r="Y11" s="22">
        <f t="shared" si="2"/>
        <v>1.2389066788655076</v>
      </c>
      <c r="Z11" s="18">
        <v>23.92</v>
      </c>
      <c r="AA11" s="23">
        <v>76</v>
      </c>
      <c r="AB11" s="25" t="s">
        <v>45</v>
      </c>
    </row>
    <row r="12" spans="1:28" ht="18" customHeight="1" x14ac:dyDescent="0.3">
      <c r="A12" s="26" t="s">
        <v>46</v>
      </c>
      <c r="B12" s="27" t="s">
        <v>29</v>
      </c>
      <c r="C12" s="27" t="s">
        <v>30</v>
      </c>
      <c r="D12" s="27" t="s">
        <v>47</v>
      </c>
      <c r="E12" s="27" t="s">
        <v>48</v>
      </c>
      <c r="F12" s="27" t="s">
        <v>33</v>
      </c>
      <c r="G12" s="28">
        <v>82.55</v>
      </c>
      <c r="H12" s="28">
        <v>29.34</v>
      </c>
      <c r="I12" s="28">
        <v>1.57</v>
      </c>
      <c r="J12" s="28">
        <v>47.48</v>
      </c>
      <c r="K12" s="28">
        <v>18.14</v>
      </c>
      <c r="L12" s="28">
        <v>13.45</v>
      </c>
      <c r="M12" s="28">
        <v>454.05</v>
      </c>
      <c r="N12" s="28">
        <v>179.03</v>
      </c>
      <c r="O12" s="28">
        <v>223.78</v>
      </c>
      <c r="P12" s="28">
        <v>11.31</v>
      </c>
      <c r="Q12" s="28">
        <v>396.26</v>
      </c>
      <c r="R12" s="29"/>
      <c r="S12" s="29"/>
      <c r="T12" s="29"/>
      <c r="U12" s="29"/>
      <c r="V12" s="30">
        <f t="shared" si="0"/>
        <v>2.9622288294240717</v>
      </c>
      <c r="W12" s="30">
        <f t="shared" si="1"/>
        <v>7.5127073674803109</v>
      </c>
      <c r="X12" s="31">
        <f>IF(AND(O12&lt;&gt;"",N12&lt;&gt;""),O12/N12,"")</f>
        <v>1.2499581075797352</v>
      </c>
      <c r="Y12" s="31">
        <f t="shared" si="2"/>
        <v>1.61826857532379</v>
      </c>
      <c r="Z12" s="29"/>
      <c r="AA12" s="32">
        <v>51</v>
      </c>
      <c r="AB12" s="11" t="s">
        <v>34</v>
      </c>
    </row>
    <row r="13" spans="1:28" ht="18" customHeight="1" x14ac:dyDescent="0.3">
      <c r="A13" s="26" t="s">
        <v>46</v>
      </c>
      <c r="B13" s="27" t="s">
        <v>35</v>
      </c>
      <c r="C13" s="27" t="s">
        <v>36</v>
      </c>
      <c r="D13" s="27" t="s">
        <v>47</v>
      </c>
      <c r="E13" s="27" t="s">
        <v>48</v>
      </c>
      <c r="F13" s="27" t="s">
        <v>33</v>
      </c>
      <c r="G13" s="28">
        <v>23.91</v>
      </c>
      <c r="H13" s="28">
        <v>7.99</v>
      </c>
      <c r="I13" s="28">
        <v>0.86</v>
      </c>
      <c r="J13" s="28">
        <v>15.3</v>
      </c>
      <c r="K13" s="28">
        <v>5.37</v>
      </c>
      <c r="L13" s="28">
        <v>3.64</v>
      </c>
      <c r="M13" s="29"/>
      <c r="N13" s="29"/>
      <c r="O13" s="29"/>
      <c r="P13" s="29"/>
      <c r="Q13" s="29"/>
      <c r="R13" s="29"/>
      <c r="S13" s="29"/>
      <c r="T13" s="29"/>
      <c r="U13" s="29"/>
      <c r="V13" s="30" t="str">
        <f t="shared" si="0"/>
        <v/>
      </c>
      <c r="W13" s="30" t="str">
        <f t="shared" si="1"/>
        <v/>
      </c>
      <c r="X13" s="31" t="str">
        <f>IF(AND(O13&lt;&gt;"",N13&lt;&gt;""),O13/N13,"")</f>
        <v/>
      </c>
      <c r="Y13" s="31">
        <f t="shared" si="2"/>
        <v>1.9148936170212767</v>
      </c>
      <c r="Z13" s="29"/>
      <c r="AA13" s="32">
        <v>46</v>
      </c>
      <c r="AB13" s="15" t="s">
        <v>39</v>
      </c>
    </row>
    <row r="14" spans="1:28" ht="18" customHeight="1" x14ac:dyDescent="0.3">
      <c r="A14" s="26" t="s">
        <v>46</v>
      </c>
      <c r="B14" s="27" t="s">
        <v>38</v>
      </c>
      <c r="C14" s="27" t="s">
        <v>36</v>
      </c>
      <c r="D14" s="27" t="s">
        <v>47</v>
      </c>
      <c r="E14" s="27" t="s">
        <v>48</v>
      </c>
      <c r="F14" s="27" t="s">
        <v>33</v>
      </c>
      <c r="G14" s="28">
        <v>23.98</v>
      </c>
      <c r="H14" s="28">
        <v>7.99</v>
      </c>
      <c r="I14" s="28">
        <v>0.31</v>
      </c>
      <c r="J14" s="28">
        <v>10.84</v>
      </c>
      <c r="K14" s="28">
        <v>6.08</v>
      </c>
      <c r="L14" s="28">
        <v>4.55</v>
      </c>
      <c r="M14" s="28">
        <v>485.61</v>
      </c>
      <c r="N14" s="28">
        <v>290.93</v>
      </c>
      <c r="O14" s="28">
        <v>272.23</v>
      </c>
      <c r="P14" s="28">
        <v>12.54</v>
      </c>
      <c r="Q14" s="29"/>
      <c r="R14" s="29"/>
      <c r="S14" s="29"/>
      <c r="T14" s="29"/>
      <c r="U14" s="29"/>
      <c r="V14" s="30">
        <f t="shared" si="0"/>
        <v>0.93696587796791664</v>
      </c>
      <c r="W14" s="30">
        <f t="shared" si="1"/>
        <v>1.5639500910872031</v>
      </c>
      <c r="X14" s="31">
        <f>IF(AND(O14&lt;&gt;"",N14&lt;&gt;""),O14/N14,"")</f>
        <v>0.9357233698827897</v>
      </c>
      <c r="Y14" s="31">
        <f t="shared" si="2"/>
        <v>1.3566958698372966</v>
      </c>
      <c r="Z14" s="29"/>
      <c r="AA14" s="32">
        <v>45</v>
      </c>
      <c r="AB14" s="15" t="s">
        <v>39</v>
      </c>
    </row>
    <row r="15" spans="1:28" ht="18" customHeight="1" x14ac:dyDescent="0.3">
      <c r="A15" s="26" t="s">
        <v>46</v>
      </c>
      <c r="B15" s="27" t="s">
        <v>40</v>
      </c>
      <c r="C15" s="27" t="s">
        <v>36</v>
      </c>
      <c r="D15" s="27" t="s">
        <v>47</v>
      </c>
      <c r="E15" s="27" t="s">
        <v>48</v>
      </c>
      <c r="F15" s="27" t="s">
        <v>33</v>
      </c>
      <c r="G15" s="28">
        <v>25.72</v>
      </c>
      <c r="H15" s="28">
        <v>8.18</v>
      </c>
      <c r="I15" s="28">
        <v>1.2</v>
      </c>
      <c r="J15" s="28">
        <v>13.59</v>
      </c>
      <c r="K15" s="28">
        <v>6.46</v>
      </c>
      <c r="L15" s="28">
        <v>4.75</v>
      </c>
      <c r="M15" s="29"/>
      <c r="N15" s="29"/>
      <c r="O15" s="29"/>
      <c r="P15" s="29"/>
      <c r="Q15" s="29"/>
      <c r="R15" s="29"/>
      <c r="S15" s="29"/>
      <c r="T15" s="29"/>
      <c r="U15" s="29"/>
      <c r="V15" s="30" t="str">
        <f t="shared" si="0"/>
        <v/>
      </c>
      <c r="W15" s="30" t="str">
        <f t="shared" si="1"/>
        <v/>
      </c>
      <c r="X15" s="31" t="str">
        <f>IF(AND(O15&lt;&gt;"",N15&lt;&gt;""),O15/N15,"")</f>
        <v/>
      </c>
      <c r="Y15" s="31">
        <f t="shared" si="2"/>
        <v>1.6613691931540342</v>
      </c>
      <c r="Z15" s="29"/>
      <c r="AA15" s="32">
        <v>47</v>
      </c>
      <c r="AB15" s="11" t="s">
        <v>34</v>
      </c>
    </row>
    <row r="16" spans="1:28" ht="18" customHeight="1" x14ac:dyDescent="0.3">
      <c r="A16" s="33" t="s">
        <v>49</v>
      </c>
      <c r="B16" s="34" t="s">
        <v>50</v>
      </c>
      <c r="C16" s="34" t="s">
        <v>51</v>
      </c>
      <c r="D16" s="34" t="s">
        <v>52</v>
      </c>
      <c r="E16" s="34" t="s">
        <v>48</v>
      </c>
      <c r="F16" s="34" t="s">
        <v>33</v>
      </c>
      <c r="G16" s="35">
        <v>191.63</v>
      </c>
      <c r="H16" s="35">
        <v>81.87</v>
      </c>
      <c r="I16" s="35">
        <v>11.36</v>
      </c>
      <c r="J16" s="35">
        <v>120.52</v>
      </c>
      <c r="K16" s="35">
        <v>38.65</v>
      </c>
      <c r="L16" s="35">
        <v>31.18</v>
      </c>
      <c r="M16" s="35">
        <v>973.75</v>
      </c>
      <c r="N16" s="35">
        <v>200.61</v>
      </c>
      <c r="O16" s="35">
        <v>752.27</v>
      </c>
      <c r="P16" s="35">
        <v>124.93</v>
      </c>
      <c r="Q16" s="35">
        <v>936.9</v>
      </c>
      <c r="R16" s="36">
        <v>3.74</v>
      </c>
      <c r="S16" s="36">
        <v>2.7</v>
      </c>
      <c r="T16" s="37"/>
      <c r="U16" s="37"/>
      <c r="V16" s="38">
        <f t="shared" si="0"/>
        <v>3.2020539152759953</v>
      </c>
      <c r="W16" s="38">
        <f t="shared" si="1"/>
        <v>15.542595084990776</v>
      </c>
      <c r="X16" s="39">
        <v>3.75</v>
      </c>
      <c r="Y16" s="40">
        <f t="shared" si="2"/>
        <v>1.4720898986197628</v>
      </c>
      <c r="Z16" s="35">
        <v>27</v>
      </c>
      <c r="AA16" s="41">
        <v>79</v>
      </c>
      <c r="AB16" s="25" t="s">
        <v>45</v>
      </c>
    </row>
    <row r="17" spans="1:28" ht="18" customHeight="1" x14ac:dyDescent="0.3">
      <c r="A17" s="33" t="s">
        <v>49</v>
      </c>
      <c r="B17" s="34" t="s">
        <v>29</v>
      </c>
      <c r="C17" s="34" t="s">
        <v>30</v>
      </c>
      <c r="D17" s="34" t="s">
        <v>52</v>
      </c>
      <c r="E17" s="34" t="s">
        <v>48</v>
      </c>
      <c r="F17" s="34" t="s">
        <v>33</v>
      </c>
      <c r="G17" s="35">
        <v>250.45</v>
      </c>
      <c r="H17" s="35">
        <v>107.84</v>
      </c>
      <c r="I17" s="35">
        <v>16.96</v>
      </c>
      <c r="J17" s="35">
        <v>158.94</v>
      </c>
      <c r="K17" s="35">
        <v>50.1</v>
      </c>
      <c r="L17" s="35">
        <v>37.799999999999997</v>
      </c>
      <c r="M17" s="35">
        <v>1465.98</v>
      </c>
      <c r="N17" s="35">
        <v>368.9</v>
      </c>
      <c r="O17" s="35">
        <v>1075.1400000000001</v>
      </c>
      <c r="P17" s="35">
        <v>239.84</v>
      </c>
      <c r="Q17" s="35">
        <v>1331.4</v>
      </c>
      <c r="R17" s="36">
        <v>3.23</v>
      </c>
      <c r="S17" s="36">
        <v>2.4500000000000002</v>
      </c>
      <c r="T17" s="37"/>
      <c r="U17" s="37"/>
      <c r="V17" s="38">
        <f t="shared" si="0"/>
        <v>2.5784799246920147</v>
      </c>
      <c r="W17" s="38">
        <f t="shared" si="1"/>
        <v>10.246679316888045</v>
      </c>
      <c r="X17" s="39">
        <v>2.92</v>
      </c>
      <c r="Y17" s="40">
        <f t="shared" si="2"/>
        <v>1.4738501483679525</v>
      </c>
      <c r="Z17" s="35">
        <v>29.81</v>
      </c>
      <c r="AA17" s="41">
        <v>83.5</v>
      </c>
      <c r="AB17" s="25" t="s">
        <v>45</v>
      </c>
    </row>
    <row r="18" spans="1:28" ht="18" customHeight="1" x14ac:dyDescent="0.3">
      <c r="A18" s="33" t="s">
        <v>49</v>
      </c>
      <c r="B18" s="34" t="s">
        <v>35</v>
      </c>
      <c r="C18" s="34" t="s">
        <v>36</v>
      </c>
      <c r="D18" s="34" t="s">
        <v>52</v>
      </c>
      <c r="E18" s="34" t="s">
        <v>48</v>
      </c>
      <c r="F18" s="34" t="s">
        <v>33</v>
      </c>
      <c r="G18" s="35">
        <v>69.02</v>
      </c>
      <c r="H18" s="35">
        <v>29.01</v>
      </c>
      <c r="I18" s="35">
        <v>6.72</v>
      </c>
      <c r="J18" s="35">
        <v>33.520000000000003</v>
      </c>
      <c r="K18" s="35">
        <v>11.19</v>
      </c>
      <c r="L18" s="35">
        <v>9.75</v>
      </c>
      <c r="M18" s="37"/>
      <c r="N18" s="35">
        <v>378.85</v>
      </c>
      <c r="O18" s="37"/>
      <c r="P18" s="37"/>
      <c r="Q18" s="37"/>
      <c r="R18" s="36">
        <v>3.84</v>
      </c>
      <c r="S18" s="36">
        <v>2.95</v>
      </c>
      <c r="T18" s="37"/>
      <c r="U18" s="37"/>
      <c r="V18" s="38" t="str">
        <f t="shared" si="0"/>
        <v/>
      </c>
      <c r="W18" s="38">
        <f t="shared" si="1"/>
        <v>2.5735779332189521</v>
      </c>
      <c r="X18" s="39">
        <v>2.9</v>
      </c>
      <c r="Y18" s="40">
        <f t="shared" si="2"/>
        <v>1.1554636332299209</v>
      </c>
      <c r="Z18" s="35">
        <v>28.21</v>
      </c>
      <c r="AA18" s="41">
        <v>80</v>
      </c>
      <c r="AB18" s="25" t="s">
        <v>45</v>
      </c>
    </row>
    <row r="19" spans="1:28" ht="18" customHeight="1" x14ac:dyDescent="0.3">
      <c r="A19" s="33" t="s">
        <v>49</v>
      </c>
      <c r="B19" s="34" t="s">
        <v>38</v>
      </c>
      <c r="C19" s="34" t="s">
        <v>36</v>
      </c>
      <c r="D19" s="34" t="s">
        <v>52</v>
      </c>
      <c r="E19" s="34" t="s">
        <v>48</v>
      </c>
      <c r="F19" s="34" t="s">
        <v>33</v>
      </c>
      <c r="G19" s="35">
        <v>44.63</v>
      </c>
      <c r="H19" s="35">
        <v>35.61</v>
      </c>
      <c r="I19" s="37"/>
      <c r="J19" s="37"/>
      <c r="K19" s="37"/>
      <c r="L19" s="35">
        <v>2.5499999999999998</v>
      </c>
      <c r="M19" s="35">
        <v>1887.44</v>
      </c>
      <c r="N19" s="35">
        <v>388.83</v>
      </c>
      <c r="O19" s="35">
        <v>1462.36</v>
      </c>
      <c r="P19" s="35">
        <v>128.47</v>
      </c>
      <c r="Q19" s="35">
        <v>1571.88</v>
      </c>
      <c r="R19" s="36">
        <v>4.6100000000000003</v>
      </c>
      <c r="S19" s="37"/>
      <c r="T19" s="37"/>
      <c r="U19" s="37"/>
      <c r="V19" s="38">
        <f t="shared" si="0"/>
        <v>0.13510363243334886</v>
      </c>
      <c r="W19" s="38">
        <f t="shared" si="1"/>
        <v>0.65581359463004396</v>
      </c>
      <c r="X19" s="39">
        <v>3.76</v>
      </c>
      <c r="Y19" s="40" t="str">
        <f t="shared" si="2"/>
        <v/>
      </c>
      <c r="Z19" s="37"/>
      <c r="AA19" s="41">
        <v>74</v>
      </c>
      <c r="AB19" s="25" t="s">
        <v>45</v>
      </c>
    </row>
    <row r="20" spans="1:28" ht="18" customHeight="1" x14ac:dyDescent="0.3">
      <c r="A20" s="33" t="s">
        <v>49</v>
      </c>
      <c r="B20" s="34" t="s">
        <v>40</v>
      </c>
      <c r="C20" s="34" t="s">
        <v>36</v>
      </c>
      <c r="D20" s="34" t="s">
        <v>52</v>
      </c>
      <c r="E20" s="34" t="s">
        <v>48</v>
      </c>
      <c r="F20" s="34" t="s">
        <v>33</v>
      </c>
      <c r="G20" s="37"/>
      <c r="H20" s="37"/>
      <c r="I20" s="37"/>
      <c r="J20" s="37"/>
      <c r="K20" s="37"/>
      <c r="L20" s="35">
        <v>0.78</v>
      </c>
      <c r="M20" s="35">
        <v>1769.83</v>
      </c>
      <c r="N20" s="35">
        <v>399.43</v>
      </c>
      <c r="O20" s="35">
        <v>1345.07</v>
      </c>
      <c r="P20" s="37"/>
      <c r="Q20" s="35">
        <v>1800</v>
      </c>
      <c r="R20" s="36">
        <v>3.63</v>
      </c>
      <c r="S20" s="36">
        <v>2.78</v>
      </c>
      <c r="T20" s="37"/>
      <c r="U20" s="37"/>
      <c r="V20" s="38">
        <f t="shared" si="0"/>
        <v>4.4072029516959259E-2</v>
      </c>
      <c r="W20" s="38">
        <f t="shared" si="1"/>
        <v>0.19527827153694013</v>
      </c>
      <c r="X20" s="39">
        <v>3.37</v>
      </c>
      <c r="Y20" s="40" t="str">
        <f t="shared" si="2"/>
        <v/>
      </c>
      <c r="Z20" s="35">
        <v>25.06</v>
      </c>
      <c r="AA20" s="41">
        <v>76</v>
      </c>
      <c r="AB20" s="25" t="s">
        <v>45</v>
      </c>
    </row>
    <row r="21" spans="1:28" ht="18" customHeight="1" x14ac:dyDescent="0.3">
      <c r="A21" s="42" t="s">
        <v>53</v>
      </c>
      <c r="B21" s="43" t="s">
        <v>29</v>
      </c>
      <c r="C21" s="43" t="s">
        <v>30</v>
      </c>
      <c r="D21" s="43" t="s">
        <v>54</v>
      </c>
      <c r="E21" s="43" t="s">
        <v>55</v>
      </c>
      <c r="F21" s="43" t="s">
        <v>33</v>
      </c>
      <c r="G21" s="44">
        <v>2866.02</v>
      </c>
      <c r="H21" s="44">
        <v>667.98</v>
      </c>
      <c r="I21" s="44">
        <v>88.97</v>
      </c>
      <c r="J21" s="44">
        <v>2098.5700000000002</v>
      </c>
      <c r="K21" s="44">
        <v>1430.59</v>
      </c>
      <c r="L21" s="44">
        <v>1072.49</v>
      </c>
      <c r="M21" s="44">
        <v>14420.56</v>
      </c>
      <c r="N21" s="44">
        <v>6304.61</v>
      </c>
      <c r="O21" s="44">
        <v>7921.99</v>
      </c>
      <c r="P21" s="44">
        <v>2155.14</v>
      </c>
      <c r="Q21" s="44">
        <v>11686.79</v>
      </c>
      <c r="R21" s="45">
        <v>1.79</v>
      </c>
      <c r="S21" s="45">
        <v>0.88</v>
      </c>
      <c r="T21" s="46"/>
      <c r="U21" s="46"/>
      <c r="V21" s="47">
        <f t="shared" si="0"/>
        <v>7.4372285126236433</v>
      </c>
      <c r="W21" s="47">
        <f t="shared" si="1"/>
        <v>17.01120291342367</v>
      </c>
      <c r="X21" s="48">
        <v>1.26</v>
      </c>
      <c r="Y21" s="49">
        <f t="shared" si="2"/>
        <v>3.1416659181412618</v>
      </c>
      <c r="Z21" s="44">
        <v>50.1</v>
      </c>
      <c r="AA21" s="50">
        <v>97</v>
      </c>
      <c r="AB21" s="25" t="s">
        <v>45</v>
      </c>
    </row>
    <row r="22" spans="1:28" ht="18" customHeight="1" x14ac:dyDescent="0.3">
      <c r="A22" s="42" t="s">
        <v>53</v>
      </c>
      <c r="B22" s="43" t="s">
        <v>35</v>
      </c>
      <c r="C22" s="43" t="s">
        <v>36</v>
      </c>
      <c r="D22" s="43" t="s">
        <v>54</v>
      </c>
      <c r="E22" s="43" t="s">
        <v>55</v>
      </c>
      <c r="F22" s="43" t="s">
        <v>33</v>
      </c>
      <c r="G22" s="44">
        <v>791.19</v>
      </c>
      <c r="H22" s="44">
        <v>187.29</v>
      </c>
      <c r="I22" s="44">
        <v>47.78</v>
      </c>
      <c r="J22" s="44">
        <v>354.95</v>
      </c>
      <c r="K22" s="44">
        <v>354.95</v>
      </c>
      <c r="L22" s="44">
        <v>266.31</v>
      </c>
      <c r="M22" s="44">
        <v>14885.06</v>
      </c>
      <c r="N22" s="44">
        <v>6574.23</v>
      </c>
      <c r="O22" s="44">
        <v>7889.08</v>
      </c>
      <c r="P22" s="46"/>
      <c r="Q22" s="46"/>
      <c r="R22" s="45">
        <v>2.46</v>
      </c>
      <c r="S22" s="45">
        <v>1.25</v>
      </c>
      <c r="T22" s="46"/>
      <c r="U22" s="46"/>
      <c r="V22" s="47">
        <f t="shared" si="0"/>
        <v>1.7891093485682958</v>
      </c>
      <c r="W22" s="47">
        <f t="shared" si="1"/>
        <v>4.0508165975330952</v>
      </c>
      <c r="X22" s="48">
        <v>1.2</v>
      </c>
      <c r="Y22" s="49">
        <f t="shared" si="2"/>
        <v>1.8951892786587645</v>
      </c>
      <c r="Z22" s="44">
        <v>49.15</v>
      </c>
      <c r="AA22" s="50">
        <v>93</v>
      </c>
      <c r="AB22" s="25" t="s">
        <v>45</v>
      </c>
    </row>
    <row r="23" spans="1:28" ht="18" customHeight="1" x14ac:dyDescent="0.3">
      <c r="A23" s="42" t="s">
        <v>53</v>
      </c>
      <c r="B23" s="43" t="s">
        <v>38</v>
      </c>
      <c r="C23" s="43" t="s">
        <v>36</v>
      </c>
      <c r="D23" s="43" t="s">
        <v>54</v>
      </c>
      <c r="E23" s="43" t="s">
        <v>55</v>
      </c>
      <c r="F23" s="43" t="s">
        <v>33</v>
      </c>
      <c r="G23" s="44">
        <v>806.5</v>
      </c>
      <c r="H23" s="44">
        <v>179.98</v>
      </c>
      <c r="I23" s="44">
        <v>51.04</v>
      </c>
      <c r="J23" s="44">
        <v>381.92</v>
      </c>
      <c r="K23" s="44">
        <v>381.92</v>
      </c>
      <c r="L23" s="44">
        <v>286.14</v>
      </c>
      <c r="M23" s="44">
        <v>15434.77</v>
      </c>
      <c r="N23" s="44">
        <v>6806.66</v>
      </c>
      <c r="O23" s="44">
        <v>8167.99</v>
      </c>
      <c r="P23" s="44">
        <v>1523.02</v>
      </c>
      <c r="Q23" s="44">
        <v>12607.22</v>
      </c>
      <c r="R23" s="45">
        <v>2.8</v>
      </c>
      <c r="S23" s="45">
        <v>1.5</v>
      </c>
      <c r="T23" s="46"/>
      <c r="U23" s="46"/>
      <c r="V23" s="47">
        <f t="shared" si="0"/>
        <v>1.8538663031583886</v>
      </c>
      <c r="W23" s="47">
        <f t="shared" si="1"/>
        <v>4.2038239018843306</v>
      </c>
      <c r="X23" s="48">
        <v>1.2</v>
      </c>
      <c r="Y23" s="49">
        <f t="shared" si="2"/>
        <v>2.1220135570618961</v>
      </c>
      <c r="Z23" s="44">
        <v>49.15</v>
      </c>
      <c r="AA23" s="50">
        <v>92</v>
      </c>
      <c r="AB23" s="25" t="s">
        <v>45</v>
      </c>
    </row>
    <row r="24" spans="1:28" ht="18" customHeight="1" x14ac:dyDescent="0.3">
      <c r="A24" s="42" t="s">
        <v>53</v>
      </c>
      <c r="B24" s="43" t="s">
        <v>40</v>
      </c>
      <c r="C24" s="43" t="s">
        <v>36</v>
      </c>
      <c r="D24" s="43" t="s">
        <v>54</v>
      </c>
      <c r="E24" s="43" t="s">
        <v>55</v>
      </c>
      <c r="F24" s="43" t="s">
        <v>33</v>
      </c>
      <c r="G24" s="44">
        <v>822.22</v>
      </c>
      <c r="H24" s="44">
        <v>188.53</v>
      </c>
      <c r="I24" s="44">
        <v>57.1</v>
      </c>
      <c r="J24" s="44">
        <v>368.81</v>
      </c>
      <c r="K24" s="44">
        <v>368.81</v>
      </c>
      <c r="L24" s="44">
        <v>277.02999999999997</v>
      </c>
      <c r="M24" s="44">
        <v>15502.34</v>
      </c>
      <c r="N24" s="44">
        <v>7082.97</v>
      </c>
      <c r="O24" s="44">
        <v>8216.24</v>
      </c>
      <c r="P24" s="46"/>
      <c r="Q24" s="46"/>
      <c r="R24" s="45">
        <v>3.18</v>
      </c>
      <c r="S24" s="45">
        <v>1.94</v>
      </c>
      <c r="T24" s="46"/>
      <c r="U24" s="46"/>
      <c r="V24" s="47">
        <f t="shared" si="0"/>
        <v>1.78702054012491</v>
      </c>
      <c r="W24" s="47">
        <f t="shared" si="1"/>
        <v>3.9112123868941979</v>
      </c>
      <c r="X24" s="48">
        <v>1.1599999999999999</v>
      </c>
      <c r="Y24" s="49">
        <f t="shared" si="2"/>
        <v>1.9562403861454409</v>
      </c>
      <c r="Z24" s="44">
        <v>51.63</v>
      </c>
      <c r="AA24" s="50">
        <v>91</v>
      </c>
      <c r="AB24" s="25" t="s">
        <v>45</v>
      </c>
    </row>
    <row r="25" spans="1:28" ht="18" customHeight="1" x14ac:dyDescent="0.3">
      <c r="A25" s="42" t="s">
        <v>53</v>
      </c>
      <c r="B25" s="43" t="s">
        <v>44</v>
      </c>
      <c r="C25" s="43" t="s">
        <v>36</v>
      </c>
      <c r="D25" s="43" t="s">
        <v>54</v>
      </c>
      <c r="E25" s="43" t="s">
        <v>55</v>
      </c>
      <c r="F25" s="43" t="s">
        <v>33</v>
      </c>
      <c r="G25" s="44">
        <v>3245.97</v>
      </c>
      <c r="H25" s="44">
        <v>737.19</v>
      </c>
      <c r="I25" s="44">
        <v>216.32</v>
      </c>
      <c r="J25" s="44">
        <v>2200.5</v>
      </c>
      <c r="K25" s="44">
        <v>1462.82</v>
      </c>
      <c r="L25" s="44">
        <v>1098.75</v>
      </c>
      <c r="M25" s="44">
        <v>15789.74</v>
      </c>
      <c r="N25" s="44">
        <v>7380.15</v>
      </c>
      <c r="O25" s="44">
        <v>8200.43</v>
      </c>
      <c r="P25" s="44">
        <v>2148.9499999999998</v>
      </c>
      <c r="Q25" s="44">
        <v>12984.78</v>
      </c>
      <c r="R25" s="45">
        <v>3.37</v>
      </c>
      <c r="S25" s="45">
        <v>2</v>
      </c>
      <c r="T25" s="46"/>
      <c r="U25" s="46"/>
      <c r="V25" s="47">
        <f t="shared" si="0"/>
        <v>6.9586326310629572</v>
      </c>
      <c r="W25" s="47">
        <f t="shared" si="1"/>
        <v>14.887908782341825</v>
      </c>
      <c r="X25" s="48">
        <v>1.1100000000000001</v>
      </c>
      <c r="Y25" s="49">
        <f t="shared" si="2"/>
        <v>2.9849835184959099</v>
      </c>
      <c r="Z25" s="44">
        <v>51.89</v>
      </c>
      <c r="AA25" s="50">
        <v>89.5</v>
      </c>
      <c r="AB25" s="25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8" customWidth="1"/>
    <col min="2" max="2" width="14" customWidth="1"/>
    <col min="3" max="3" width="20" customWidth="1"/>
    <col min="4" max="4" width="15" customWidth="1"/>
    <col min="5" max="5" width="13" customWidth="1"/>
    <col min="6" max="6" width="12" customWidth="1"/>
    <col min="7" max="7" width="14" customWidth="1"/>
    <col min="8" max="9" width="13" customWidth="1"/>
    <col min="10" max="10" width="12" customWidth="1"/>
    <col min="11" max="13" width="10" customWidth="1"/>
    <col min="14" max="14" width="14" customWidth="1"/>
  </cols>
  <sheetData>
    <row r="1" spans="1:14" ht="30" customHeight="1" x14ac:dyDescent="0.3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3">
      <c r="A2" s="1" t="s">
        <v>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1.5" customHeight="1" x14ac:dyDescent="0.3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12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27</v>
      </c>
    </row>
    <row r="4" spans="1:14" ht="15.75" customHeight="1" x14ac:dyDescent="0.3">
      <c r="A4" s="5" t="s">
        <v>28</v>
      </c>
      <c r="B4" s="5" t="s">
        <v>29</v>
      </c>
      <c r="C4" s="5" t="s">
        <v>31</v>
      </c>
      <c r="D4" s="5" t="s">
        <v>32</v>
      </c>
      <c r="E4" s="51">
        <v>2183.2600000000002</v>
      </c>
      <c r="F4" s="51">
        <v>90.48</v>
      </c>
      <c r="G4" s="51">
        <v>8838.1299999999992</v>
      </c>
      <c r="H4" s="51">
        <v>599.54</v>
      </c>
      <c r="I4" s="51">
        <v>7478.15</v>
      </c>
      <c r="J4" s="51">
        <v>11034.12</v>
      </c>
      <c r="K4" s="51">
        <v>4.5</v>
      </c>
      <c r="L4" s="51">
        <v>17.5</v>
      </c>
      <c r="M4" s="5"/>
      <c r="N4" s="11" t="s">
        <v>34</v>
      </c>
    </row>
    <row r="5" spans="1:14" ht="15.75" customHeight="1" x14ac:dyDescent="0.3">
      <c r="A5" s="5" t="s">
        <v>28</v>
      </c>
      <c r="B5" s="5" t="s">
        <v>35</v>
      </c>
      <c r="C5" s="5" t="s">
        <v>31</v>
      </c>
      <c r="D5" s="5" t="s">
        <v>32</v>
      </c>
      <c r="E5" s="51">
        <v>515.28</v>
      </c>
      <c r="F5" s="51">
        <v>7.3</v>
      </c>
      <c r="G5" s="5"/>
      <c r="H5" s="51">
        <v>1671.38</v>
      </c>
      <c r="I5" s="5"/>
      <c r="J5" s="5"/>
      <c r="K5" s="5"/>
      <c r="L5" s="5"/>
      <c r="M5" s="51">
        <v>4.46</v>
      </c>
      <c r="N5" s="14" t="s">
        <v>37</v>
      </c>
    </row>
    <row r="6" spans="1:14" ht="15.75" customHeight="1" x14ac:dyDescent="0.3">
      <c r="A6" s="5" t="s">
        <v>28</v>
      </c>
      <c r="B6" s="5" t="s">
        <v>38</v>
      </c>
      <c r="C6" s="5" t="s">
        <v>31</v>
      </c>
      <c r="D6" s="5" t="s">
        <v>32</v>
      </c>
      <c r="E6" s="51">
        <v>510.46</v>
      </c>
      <c r="F6" s="51">
        <v>12.63</v>
      </c>
      <c r="G6" s="51">
        <v>9087.83</v>
      </c>
      <c r="H6" s="51">
        <v>1666.77</v>
      </c>
      <c r="I6" s="51">
        <v>7798.09</v>
      </c>
      <c r="J6" s="5"/>
      <c r="K6" s="5"/>
      <c r="L6" s="5"/>
      <c r="M6" s="51">
        <v>4.2699999999999996</v>
      </c>
      <c r="N6" s="15" t="s">
        <v>39</v>
      </c>
    </row>
    <row r="7" spans="1:14" ht="15.75" customHeight="1" x14ac:dyDescent="0.3">
      <c r="A7" s="5" t="s">
        <v>28</v>
      </c>
      <c r="B7" s="5" t="s">
        <v>40</v>
      </c>
      <c r="C7" s="5" t="s">
        <v>31</v>
      </c>
      <c r="D7" s="5" t="s">
        <v>32</v>
      </c>
      <c r="E7" s="51">
        <v>509.95</v>
      </c>
      <c r="F7" s="51">
        <v>16.28</v>
      </c>
      <c r="G7" s="5"/>
      <c r="H7" s="51">
        <v>1681.68</v>
      </c>
      <c r="I7" s="5"/>
      <c r="J7" s="5"/>
      <c r="K7" s="5"/>
      <c r="L7" s="5"/>
      <c r="M7" s="51">
        <v>4.3</v>
      </c>
      <c r="N7" s="14" t="s">
        <v>37</v>
      </c>
    </row>
    <row r="8" spans="1:14" ht="15.75" customHeight="1" x14ac:dyDescent="0.3">
      <c r="A8" s="5" t="s">
        <v>28</v>
      </c>
      <c r="B8" s="5" t="s">
        <v>41</v>
      </c>
      <c r="C8" s="5" t="s">
        <v>31</v>
      </c>
      <c r="D8" s="5" t="s">
        <v>32</v>
      </c>
      <c r="E8" s="51">
        <v>509.78</v>
      </c>
      <c r="F8" s="51">
        <v>41.04</v>
      </c>
      <c r="G8" s="51">
        <v>9802.69</v>
      </c>
      <c r="H8" s="5"/>
      <c r="I8" s="5"/>
      <c r="J8" s="51">
        <v>11034.12</v>
      </c>
      <c r="K8" s="5"/>
      <c r="L8" s="5"/>
      <c r="M8" s="5"/>
      <c r="N8" s="14" t="s">
        <v>37</v>
      </c>
    </row>
    <row r="9" spans="1:14" ht="15.75" customHeight="1" x14ac:dyDescent="0.3">
      <c r="A9" s="17" t="s">
        <v>42</v>
      </c>
      <c r="B9" s="17" t="s">
        <v>29</v>
      </c>
      <c r="C9" s="17" t="s">
        <v>31</v>
      </c>
      <c r="D9" s="17" t="s">
        <v>43</v>
      </c>
      <c r="E9" s="52">
        <v>2564.4</v>
      </c>
      <c r="F9" s="52">
        <v>-222.5</v>
      </c>
      <c r="G9" s="52">
        <v>10857</v>
      </c>
      <c r="H9" s="52">
        <v>2632.2</v>
      </c>
      <c r="I9" s="52">
        <v>8563.4500000000007</v>
      </c>
      <c r="J9" s="52">
        <v>12356.7</v>
      </c>
      <c r="K9" s="52">
        <v>4.84</v>
      </c>
      <c r="L9" s="52">
        <v>27.85</v>
      </c>
      <c r="M9" s="52">
        <v>3.01</v>
      </c>
      <c r="N9" s="15" t="s">
        <v>39</v>
      </c>
    </row>
    <row r="10" spans="1:14" ht="15.75" customHeight="1" x14ac:dyDescent="0.3">
      <c r="A10" s="17" t="s">
        <v>42</v>
      </c>
      <c r="B10" s="17" t="s">
        <v>35</v>
      </c>
      <c r="C10" s="17" t="s">
        <v>31</v>
      </c>
      <c r="D10" s="17" t="s">
        <v>43</v>
      </c>
      <c r="E10" s="52">
        <v>559.05999999999995</v>
      </c>
      <c r="F10" s="52">
        <v>6.18</v>
      </c>
      <c r="G10" s="17"/>
      <c r="H10" s="52">
        <v>2641.34</v>
      </c>
      <c r="I10" s="17"/>
      <c r="J10" s="52">
        <v>12252.8</v>
      </c>
      <c r="K10" s="52">
        <v>4.8499999999999996</v>
      </c>
      <c r="L10" s="52">
        <v>27.85</v>
      </c>
      <c r="M10" s="52">
        <v>2.83</v>
      </c>
      <c r="N10" s="11" t="s">
        <v>34</v>
      </c>
    </row>
    <row r="11" spans="1:14" ht="15.75" customHeight="1" x14ac:dyDescent="0.3">
      <c r="A11" s="17" t="s">
        <v>42</v>
      </c>
      <c r="B11" s="17" t="s">
        <v>38</v>
      </c>
      <c r="C11" s="17" t="s">
        <v>31</v>
      </c>
      <c r="D11" s="17" t="s">
        <v>43</v>
      </c>
      <c r="E11" s="52">
        <v>577.39</v>
      </c>
      <c r="F11" s="52">
        <v>30.52</v>
      </c>
      <c r="G11" s="52">
        <v>11492.75</v>
      </c>
      <c r="H11" s="52">
        <v>2702.03</v>
      </c>
      <c r="I11" s="52">
        <v>8487.18</v>
      </c>
      <c r="J11" s="17"/>
      <c r="K11" s="52">
        <v>4.6100000000000003</v>
      </c>
      <c r="L11" s="52">
        <v>28.91</v>
      </c>
      <c r="M11" s="52">
        <v>3.4</v>
      </c>
      <c r="N11" s="11" t="s">
        <v>34</v>
      </c>
    </row>
    <row r="12" spans="1:14" ht="15.75" customHeight="1" x14ac:dyDescent="0.3">
      <c r="A12" s="17" t="s">
        <v>42</v>
      </c>
      <c r="B12" s="17" t="s">
        <v>40</v>
      </c>
      <c r="C12" s="17" t="s">
        <v>31</v>
      </c>
      <c r="D12" s="17" t="s">
        <v>43</v>
      </c>
      <c r="E12" s="52">
        <v>605.35</v>
      </c>
      <c r="F12" s="52">
        <v>62.44</v>
      </c>
      <c r="G12" s="17"/>
      <c r="H12" s="52">
        <v>2768.32</v>
      </c>
      <c r="I12" s="17"/>
      <c r="J12" s="17"/>
      <c r="K12" s="52">
        <v>4.4000000000000004</v>
      </c>
      <c r="L12" s="52">
        <v>26.44</v>
      </c>
      <c r="M12" s="52">
        <v>3.26</v>
      </c>
      <c r="N12" s="11" t="s">
        <v>34</v>
      </c>
    </row>
    <row r="13" spans="1:14" ht="15.75" customHeight="1" x14ac:dyDescent="0.3">
      <c r="A13" s="17" t="s">
        <v>42</v>
      </c>
      <c r="B13" s="17" t="s">
        <v>44</v>
      </c>
      <c r="C13" s="17" t="s">
        <v>31</v>
      </c>
      <c r="D13" s="17" t="s">
        <v>43</v>
      </c>
      <c r="E13" s="52">
        <v>2340.6</v>
      </c>
      <c r="F13" s="52">
        <v>170.27</v>
      </c>
      <c r="G13" s="52">
        <v>12684.81</v>
      </c>
      <c r="H13" s="52">
        <v>2854.37</v>
      </c>
      <c r="I13" s="52">
        <v>9535.6</v>
      </c>
      <c r="J13" s="17"/>
      <c r="K13" s="52">
        <v>3.89</v>
      </c>
      <c r="L13" s="52">
        <v>23.92</v>
      </c>
      <c r="M13" s="52">
        <v>3.34</v>
      </c>
      <c r="N13" s="25" t="s">
        <v>45</v>
      </c>
    </row>
    <row r="14" spans="1:14" ht="15.75" customHeight="1" x14ac:dyDescent="0.3">
      <c r="A14" s="27" t="s">
        <v>46</v>
      </c>
      <c r="B14" s="27" t="s">
        <v>29</v>
      </c>
      <c r="C14" s="27" t="s">
        <v>47</v>
      </c>
      <c r="D14" s="27" t="s">
        <v>48</v>
      </c>
      <c r="E14" s="53">
        <v>82.55</v>
      </c>
      <c r="F14" s="53">
        <v>13.45</v>
      </c>
      <c r="G14" s="53">
        <v>454.05</v>
      </c>
      <c r="H14" s="53">
        <v>179.03</v>
      </c>
      <c r="I14" s="53">
        <v>223.78</v>
      </c>
      <c r="J14" s="53">
        <v>396.26</v>
      </c>
      <c r="K14" s="27"/>
      <c r="L14" s="27"/>
      <c r="M14" s="27"/>
      <c r="N14" s="11" t="s">
        <v>34</v>
      </c>
    </row>
    <row r="15" spans="1:14" ht="15.75" customHeight="1" x14ac:dyDescent="0.3">
      <c r="A15" s="27" t="s">
        <v>46</v>
      </c>
      <c r="B15" s="27" t="s">
        <v>35</v>
      </c>
      <c r="C15" s="27" t="s">
        <v>47</v>
      </c>
      <c r="D15" s="27" t="s">
        <v>48</v>
      </c>
      <c r="E15" s="53">
        <v>23.91</v>
      </c>
      <c r="F15" s="53">
        <v>3.64</v>
      </c>
      <c r="G15" s="27"/>
      <c r="H15" s="27"/>
      <c r="I15" s="27"/>
      <c r="J15" s="27"/>
      <c r="K15" s="27"/>
      <c r="L15" s="27"/>
      <c r="M15" s="27"/>
      <c r="N15" s="15" t="s">
        <v>39</v>
      </c>
    </row>
    <row r="16" spans="1:14" ht="15.75" customHeight="1" x14ac:dyDescent="0.3">
      <c r="A16" s="27" t="s">
        <v>46</v>
      </c>
      <c r="B16" s="27" t="s">
        <v>38</v>
      </c>
      <c r="C16" s="27" t="s">
        <v>47</v>
      </c>
      <c r="D16" s="27" t="s">
        <v>48</v>
      </c>
      <c r="E16" s="53">
        <v>23.98</v>
      </c>
      <c r="F16" s="53">
        <v>4.55</v>
      </c>
      <c r="G16" s="53">
        <v>485.61</v>
      </c>
      <c r="H16" s="53">
        <v>290.93</v>
      </c>
      <c r="I16" s="53">
        <v>272.23</v>
      </c>
      <c r="J16" s="27"/>
      <c r="K16" s="27"/>
      <c r="L16" s="27"/>
      <c r="M16" s="27"/>
      <c r="N16" s="15" t="s">
        <v>39</v>
      </c>
    </row>
    <row r="17" spans="1:14" ht="15.75" customHeight="1" x14ac:dyDescent="0.3">
      <c r="A17" s="27" t="s">
        <v>46</v>
      </c>
      <c r="B17" s="27" t="s">
        <v>40</v>
      </c>
      <c r="C17" s="27" t="s">
        <v>47</v>
      </c>
      <c r="D17" s="27" t="s">
        <v>48</v>
      </c>
      <c r="E17" s="53">
        <v>25.72</v>
      </c>
      <c r="F17" s="53">
        <v>4.75</v>
      </c>
      <c r="G17" s="27"/>
      <c r="H17" s="27"/>
      <c r="I17" s="27"/>
      <c r="J17" s="27"/>
      <c r="K17" s="27"/>
      <c r="L17" s="27"/>
      <c r="M17" s="27"/>
      <c r="N17" s="11" t="s">
        <v>34</v>
      </c>
    </row>
    <row r="18" spans="1:14" ht="15.75" customHeight="1" x14ac:dyDescent="0.3">
      <c r="A18" s="34" t="s">
        <v>49</v>
      </c>
      <c r="B18" s="34" t="s">
        <v>50</v>
      </c>
      <c r="C18" s="34" t="s">
        <v>52</v>
      </c>
      <c r="D18" s="34" t="s">
        <v>48</v>
      </c>
      <c r="E18" s="54">
        <v>191.63</v>
      </c>
      <c r="F18" s="54">
        <v>31.18</v>
      </c>
      <c r="G18" s="54">
        <v>973.75</v>
      </c>
      <c r="H18" s="54">
        <v>200.61</v>
      </c>
      <c r="I18" s="54">
        <v>752.27</v>
      </c>
      <c r="J18" s="54">
        <v>936.9</v>
      </c>
      <c r="K18" s="54">
        <v>3.74</v>
      </c>
      <c r="L18" s="54">
        <v>27</v>
      </c>
      <c r="M18" s="54">
        <v>3.75</v>
      </c>
      <c r="N18" s="25" t="s">
        <v>45</v>
      </c>
    </row>
    <row r="19" spans="1:14" ht="15.75" customHeight="1" x14ac:dyDescent="0.3">
      <c r="A19" s="34" t="s">
        <v>49</v>
      </c>
      <c r="B19" s="34" t="s">
        <v>29</v>
      </c>
      <c r="C19" s="34" t="s">
        <v>52</v>
      </c>
      <c r="D19" s="34" t="s">
        <v>48</v>
      </c>
      <c r="E19" s="54">
        <v>250.45</v>
      </c>
      <c r="F19" s="54">
        <v>37.799999999999997</v>
      </c>
      <c r="G19" s="54">
        <v>1465.98</v>
      </c>
      <c r="H19" s="54">
        <v>368.9</v>
      </c>
      <c r="I19" s="54">
        <v>1075.1400000000001</v>
      </c>
      <c r="J19" s="54">
        <v>1331.4</v>
      </c>
      <c r="K19" s="54">
        <v>3.23</v>
      </c>
      <c r="L19" s="54">
        <v>29.81</v>
      </c>
      <c r="M19" s="54">
        <v>2.92</v>
      </c>
      <c r="N19" s="25" t="s">
        <v>45</v>
      </c>
    </row>
    <row r="20" spans="1:14" ht="15.75" customHeight="1" x14ac:dyDescent="0.3">
      <c r="A20" s="34" t="s">
        <v>49</v>
      </c>
      <c r="B20" s="34" t="s">
        <v>35</v>
      </c>
      <c r="C20" s="34" t="s">
        <v>52</v>
      </c>
      <c r="D20" s="34" t="s">
        <v>48</v>
      </c>
      <c r="E20" s="54">
        <v>69.02</v>
      </c>
      <c r="F20" s="54">
        <v>9.75</v>
      </c>
      <c r="G20" s="34"/>
      <c r="H20" s="54">
        <v>378.85</v>
      </c>
      <c r="I20" s="34"/>
      <c r="J20" s="34"/>
      <c r="K20" s="54">
        <v>3.84</v>
      </c>
      <c r="L20" s="54">
        <v>28.21</v>
      </c>
      <c r="M20" s="54">
        <v>2.9</v>
      </c>
      <c r="N20" s="25" t="s">
        <v>45</v>
      </c>
    </row>
    <row r="21" spans="1:14" ht="15.75" customHeight="1" x14ac:dyDescent="0.3">
      <c r="A21" s="34" t="s">
        <v>49</v>
      </c>
      <c r="B21" s="34" t="s">
        <v>38</v>
      </c>
      <c r="C21" s="34" t="s">
        <v>52</v>
      </c>
      <c r="D21" s="34" t="s">
        <v>48</v>
      </c>
      <c r="E21" s="54">
        <v>44.63</v>
      </c>
      <c r="F21" s="54">
        <v>2.5499999999999998</v>
      </c>
      <c r="G21" s="54">
        <v>1887.44</v>
      </c>
      <c r="H21" s="54">
        <v>388.83</v>
      </c>
      <c r="I21" s="54">
        <v>1462.36</v>
      </c>
      <c r="J21" s="54">
        <v>1571.88</v>
      </c>
      <c r="K21" s="54">
        <v>4.6100000000000003</v>
      </c>
      <c r="L21" s="34"/>
      <c r="M21" s="54">
        <v>3.76</v>
      </c>
      <c r="N21" s="25" t="s">
        <v>45</v>
      </c>
    </row>
    <row r="22" spans="1:14" ht="15.75" customHeight="1" x14ac:dyDescent="0.3">
      <c r="A22" s="34" t="s">
        <v>49</v>
      </c>
      <c r="B22" s="34" t="s">
        <v>40</v>
      </c>
      <c r="C22" s="34" t="s">
        <v>52</v>
      </c>
      <c r="D22" s="34" t="s">
        <v>48</v>
      </c>
      <c r="E22" s="34"/>
      <c r="F22" s="54">
        <v>0.78</v>
      </c>
      <c r="G22" s="54">
        <v>1769.83</v>
      </c>
      <c r="H22" s="54">
        <v>399.43</v>
      </c>
      <c r="I22" s="54">
        <v>1345.07</v>
      </c>
      <c r="J22" s="54">
        <v>1800</v>
      </c>
      <c r="K22" s="54">
        <v>3.63</v>
      </c>
      <c r="L22" s="54">
        <v>25.06</v>
      </c>
      <c r="M22" s="54">
        <v>3.37</v>
      </c>
      <c r="N22" s="25" t="s">
        <v>45</v>
      </c>
    </row>
    <row r="23" spans="1:14" ht="15.75" customHeight="1" x14ac:dyDescent="0.3">
      <c r="A23" s="43" t="s">
        <v>53</v>
      </c>
      <c r="B23" s="43" t="s">
        <v>29</v>
      </c>
      <c r="C23" s="43" t="s">
        <v>54</v>
      </c>
      <c r="D23" s="43" t="s">
        <v>55</v>
      </c>
      <c r="E23" s="55">
        <v>2866.02</v>
      </c>
      <c r="F23" s="55">
        <v>1072.49</v>
      </c>
      <c r="G23" s="55">
        <v>14420.56</v>
      </c>
      <c r="H23" s="55">
        <v>6304.61</v>
      </c>
      <c r="I23" s="55">
        <v>7921.99</v>
      </c>
      <c r="J23" s="55">
        <v>11686.79</v>
      </c>
      <c r="K23" s="55">
        <v>1.79</v>
      </c>
      <c r="L23" s="55">
        <v>50.1</v>
      </c>
      <c r="M23" s="55">
        <v>1.26</v>
      </c>
      <c r="N23" s="25" t="s">
        <v>45</v>
      </c>
    </row>
    <row r="24" spans="1:14" ht="15.75" customHeight="1" x14ac:dyDescent="0.3">
      <c r="A24" s="43" t="s">
        <v>53</v>
      </c>
      <c r="B24" s="43" t="s">
        <v>35</v>
      </c>
      <c r="C24" s="43" t="s">
        <v>54</v>
      </c>
      <c r="D24" s="43" t="s">
        <v>55</v>
      </c>
      <c r="E24" s="55">
        <v>791.19</v>
      </c>
      <c r="F24" s="55">
        <v>266.31</v>
      </c>
      <c r="G24" s="55">
        <v>14885.06</v>
      </c>
      <c r="H24" s="55">
        <v>6574.23</v>
      </c>
      <c r="I24" s="55">
        <v>7889.08</v>
      </c>
      <c r="J24" s="43"/>
      <c r="K24" s="55">
        <v>2.46</v>
      </c>
      <c r="L24" s="55">
        <v>49.15</v>
      </c>
      <c r="M24" s="55">
        <v>1.2</v>
      </c>
      <c r="N24" s="25" t="s">
        <v>45</v>
      </c>
    </row>
    <row r="25" spans="1:14" ht="15.75" customHeight="1" x14ac:dyDescent="0.3">
      <c r="A25" s="43" t="s">
        <v>53</v>
      </c>
      <c r="B25" s="43" t="s">
        <v>38</v>
      </c>
      <c r="C25" s="43" t="s">
        <v>54</v>
      </c>
      <c r="D25" s="43" t="s">
        <v>55</v>
      </c>
      <c r="E25" s="55">
        <v>806.5</v>
      </c>
      <c r="F25" s="55">
        <v>286.14</v>
      </c>
      <c r="G25" s="55">
        <v>15434.77</v>
      </c>
      <c r="H25" s="55">
        <v>6806.66</v>
      </c>
      <c r="I25" s="55">
        <v>8167.99</v>
      </c>
      <c r="J25" s="55">
        <v>12607.22</v>
      </c>
      <c r="K25" s="55">
        <v>2.8</v>
      </c>
      <c r="L25" s="55">
        <v>49.15</v>
      </c>
      <c r="M25" s="55">
        <v>1.2</v>
      </c>
      <c r="N25" s="25" t="s">
        <v>45</v>
      </c>
    </row>
    <row r="26" spans="1:14" ht="15.75" customHeight="1" x14ac:dyDescent="0.3">
      <c r="A26" s="43" t="s">
        <v>53</v>
      </c>
      <c r="B26" s="43" t="s">
        <v>40</v>
      </c>
      <c r="C26" s="43" t="s">
        <v>54</v>
      </c>
      <c r="D26" s="43" t="s">
        <v>55</v>
      </c>
      <c r="E26" s="55">
        <v>822.22</v>
      </c>
      <c r="F26" s="55">
        <v>277.02999999999997</v>
      </c>
      <c r="G26" s="55">
        <v>15502.34</v>
      </c>
      <c r="H26" s="55">
        <v>7082.97</v>
      </c>
      <c r="I26" s="55">
        <v>8216.24</v>
      </c>
      <c r="J26" s="43"/>
      <c r="K26" s="55">
        <v>3.18</v>
      </c>
      <c r="L26" s="55">
        <v>51.63</v>
      </c>
      <c r="M26" s="55">
        <v>1.1599999999999999</v>
      </c>
      <c r="N26" s="25" t="s">
        <v>45</v>
      </c>
    </row>
    <row r="27" spans="1:14" ht="15.75" customHeight="1" x14ac:dyDescent="0.3">
      <c r="A27" s="43" t="s">
        <v>53</v>
      </c>
      <c r="B27" s="43" t="s">
        <v>44</v>
      </c>
      <c r="C27" s="43" t="s">
        <v>54</v>
      </c>
      <c r="D27" s="43" t="s">
        <v>55</v>
      </c>
      <c r="E27" s="55">
        <v>3245.97</v>
      </c>
      <c r="F27" s="55">
        <v>1098.75</v>
      </c>
      <c r="G27" s="55">
        <v>15789.74</v>
      </c>
      <c r="H27" s="55">
        <v>7380.15</v>
      </c>
      <c r="I27" s="55">
        <v>8200.43</v>
      </c>
      <c r="J27" s="55">
        <v>12984.78</v>
      </c>
      <c r="K27" s="55">
        <v>3.37</v>
      </c>
      <c r="L27" s="55">
        <v>51.89</v>
      </c>
      <c r="M27" s="55">
        <v>1.1100000000000001</v>
      </c>
      <c r="N27" s="25" t="s">
        <v>45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zoomScaleNormal="100" workbookViewId="0"/>
  </sheetViews>
  <sheetFormatPr defaultColWidth="8.6640625" defaultRowHeight="14.4" x14ac:dyDescent="0.3"/>
  <cols>
    <col min="1" max="1" width="35" customWidth="1"/>
    <col min="2" max="2" width="52" customWidth="1"/>
    <col min="3" max="3" width="16" customWidth="1"/>
    <col min="4" max="4" width="40" customWidth="1"/>
  </cols>
  <sheetData>
    <row r="1" spans="1:4" x14ac:dyDescent="0.3">
      <c r="A1" s="56" t="s">
        <v>70</v>
      </c>
      <c r="B1" s="56" t="s">
        <v>71</v>
      </c>
      <c r="C1" s="56" t="s">
        <v>72</v>
      </c>
      <c r="D1" s="56" t="s">
        <v>73</v>
      </c>
    </row>
    <row r="2" spans="1:4" x14ac:dyDescent="0.3">
      <c r="A2" s="57" t="s">
        <v>74</v>
      </c>
      <c r="B2" s="57" t="s">
        <v>75</v>
      </c>
      <c r="C2" s="57" t="s">
        <v>76</v>
      </c>
      <c r="D2" s="57" t="s">
        <v>77</v>
      </c>
    </row>
    <row r="3" spans="1:4" x14ac:dyDescent="0.3">
      <c r="A3" s="57" t="s">
        <v>78</v>
      </c>
      <c r="B3" s="57" t="s">
        <v>79</v>
      </c>
      <c r="C3" s="57" t="s">
        <v>76</v>
      </c>
      <c r="D3" s="57" t="s">
        <v>80</v>
      </c>
    </row>
    <row r="4" spans="1:4" x14ac:dyDescent="0.3">
      <c r="A4" s="57" t="s">
        <v>81</v>
      </c>
      <c r="B4" s="57" t="s">
        <v>82</v>
      </c>
      <c r="C4" s="57" t="s">
        <v>83</v>
      </c>
      <c r="D4" s="57" t="s">
        <v>84</v>
      </c>
    </row>
    <row r="5" spans="1:4" x14ac:dyDescent="0.3">
      <c r="A5" s="57" t="s">
        <v>85</v>
      </c>
      <c r="B5" s="57" t="s">
        <v>86</v>
      </c>
      <c r="C5" s="57" t="s">
        <v>83</v>
      </c>
      <c r="D5" s="57" t="s">
        <v>84</v>
      </c>
    </row>
    <row r="6" spans="1:4" x14ac:dyDescent="0.3">
      <c r="A6" s="57" t="s">
        <v>87</v>
      </c>
      <c r="B6" s="57" t="s">
        <v>88</v>
      </c>
      <c r="C6" s="57" t="s">
        <v>83</v>
      </c>
      <c r="D6" s="57" t="s">
        <v>84</v>
      </c>
    </row>
    <row r="7" spans="1:4" x14ac:dyDescent="0.3">
      <c r="A7" s="57" t="s">
        <v>89</v>
      </c>
      <c r="B7" s="57" t="s">
        <v>90</v>
      </c>
      <c r="C7" s="57" t="s">
        <v>83</v>
      </c>
      <c r="D7" s="57" t="s">
        <v>91</v>
      </c>
    </row>
    <row r="8" spans="1:4" x14ac:dyDescent="0.3">
      <c r="A8" s="57" t="s">
        <v>92</v>
      </c>
      <c r="B8" s="57" t="s">
        <v>93</v>
      </c>
      <c r="C8" s="57" t="s">
        <v>83</v>
      </c>
      <c r="D8" s="57" t="s">
        <v>84</v>
      </c>
    </row>
    <row r="9" spans="1:4" x14ac:dyDescent="0.3">
      <c r="A9" s="57" t="s">
        <v>94</v>
      </c>
      <c r="B9" s="57" t="s">
        <v>95</v>
      </c>
      <c r="C9" s="57" t="s">
        <v>83</v>
      </c>
      <c r="D9" s="57" t="s">
        <v>84</v>
      </c>
    </row>
    <row r="10" spans="1:4" x14ac:dyDescent="0.3">
      <c r="A10" s="57" t="s">
        <v>96</v>
      </c>
      <c r="B10" s="57" t="s">
        <v>97</v>
      </c>
      <c r="C10" s="57" t="s">
        <v>83</v>
      </c>
      <c r="D10" s="57" t="s">
        <v>98</v>
      </c>
    </row>
    <row r="11" spans="1:4" x14ac:dyDescent="0.3">
      <c r="A11" s="57" t="s">
        <v>99</v>
      </c>
      <c r="B11" s="57" t="s">
        <v>100</v>
      </c>
      <c r="C11" s="57" t="s">
        <v>83</v>
      </c>
      <c r="D11" s="57" t="s">
        <v>98</v>
      </c>
    </row>
    <row r="12" spans="1:4" x14ac:dyDescent="0.3">
      <c r="A12" s="57" t="s">
        <v>101</v>
      </c>
      <c r="B12" s="57" t="s">
        <v>102</v>
      </c>
      <c r="C12" s="57" t="s">
        <v>83</v>
      </c>
      <c r="D12" s="57" t="s">
        <v>98</v>
      </c>
    </row>
    <row r="13" spans="1:4" x14ac:dyDescent="0.3">
      <c r="A13" s="57" t="s">
        <v>103</v>
      </c>
      <c r="B13" s="57" t="s">
        <v>104</v>
      </c>
      <c r="C13" s="57" t="s">
        <v>83</v>
      </c>
      <c r="D13" s="57" t="s">
        <v>98</v>
      </c>
    </row>
    <row r="14" spans="1:4" x14ac:dyDescent="0.3">
      <c r="A14" s="57" t="s">
        <v>105</v>
      </c>
      <c r="B14" s="57" t="s">
        <v>106</v>
      </c>
      <c r="C14" s="57" t="s">
        <v>83</v>
      </c>
      <c r="D14" s="57" t="s">
        <v>107</v>
      </c>
    </row>
    <row r="15" spans="1:4" x14ac:dyDescent="0.3">
      <c r="A15" s="57" t="s">
        <v>108</v>
      </c>
      <c r="B15" s="57" t="s">
        <v>109</v>
      </c>
      <c r="C15" s="57" t="s">
        <v>110</v>
      </c>
      <c r="D15" s="57" t="s">
        <v>111</v>
      </c>
    </row>
    <row r="16" spans="1:4" x14ac:dyDescent="0.3">
      <c r="A16" s="57" t="s">
        <v>112</v>
      </c>
      <c r="B16" s="57" t="s">
        <v>113</v>
      </c>
      <c r="C16" s="57" t="s">
        <v>110</v>
      </c>
      <c r="D16" s="57" t="s">
        <v>111</v>
      </c>
    </row>
    <row r="17" spans="1:4" x14ac:dyDescent="0.3">
      <c r="A17" s="57" t="s">
        <v>114</v>
      </c>
      <c r="B17" s="57" t="s">
        <v>115</v>
      </c>
      <c r="C17" s="57" t="s">
        <v>110</v>
      </c>
      <c r="D17" s="57" t="s">
        <v>111</v>
      </c>
    </row>
    <row r="18" spans="1:4" x14ac:dyDescent="0.3">
      <c r="A18" s="57" t="s">
        <v>116</v>
      </c>
      <c r="B18" s="57" t="s">
        <v>117</v>
      </c>
      <c r="C18" s="57" t="s">
        <v>110</v>
      </c>
      <c r="D18" s="57" t="s">
        <v>107</v>
      </c>
    </row>
    <row r="19" spans="1:4" x14ac:dyDescent="0.3">
      <c r="A19" s="57" t="s">
        <v>118</v>
      </c>
      <c r="B19" s="57" t="s">
        <v>119</v>
      </c>
      <c r="C19" s="57" t="s">
        <v>110</v>
      </c>
      <c r="D19" s="57" t="s">
        <v>111</v>
      </c>
    </row>
    <row r="20" spans="1:4" x14ac:dyDescent="0.3">
      <c r="A20" s="57" t="s">
        <v>120</v>
      </c>
      <c r="B20" s="57" t="s">
        <v>121</v>
      </c>
      <c r="C20" s="57" t="s">
        <v>110</v>
      </c>
      <c r="D20" s="57" t="s">
        <v>91</v>
      </c>
    </row>
    <row r="21" spans="1:4" x14ac:dyDescent="0.3">
      <c r="A21" s="57" t="s">
        <v>122</v>
      </c>
      <c r="B21" s="57" t="s">
        <v>123</v>
      </c>
      <c r="C21" s="57" t="s">
        <v>110</v>
      </c>
      <c r="D21" s="57" t="s">
        <v>91</v>
      </c>
    </row>
    <row r="22" spans="1:4" x14ac:dyDescent="0.3">
      <c r="A22" s="57" t="s">
        <v>124</v>
      </c>
      <c r="B22" s="57" t="s">
        <v>125</v>
      </c>
      <c r="C22" s="57" t="s">
        <v>126</v>
      </c>
      <c r="D22" s="57" t="s">
        <v>91</v>
      </c>
    </row>
    <row r="23" spans="1:4" x14ac:dyDescent="0.3">
      <c r="A23" s="57" t="s">
        <v>127</v>
      </c>
      <c r="B23" s="57" t="s">
        <v>128</v>
      </c>
      <c r="C23" s="57" t="s">
        <v>126</v>
      </c>
      <c r="D23" s="57" t="s">
        <v>91</v>
      </c>
    </row>
    <row r="24" spans="1:4" x14ac:dyDescent="0.3">
      <c r="A24" s="57" t="s">
        <v>129</v>
      </c>
      <c r="B24" s="57" t="s">
        <v>130</v>
      </c>
      <c r="C24" s="57" t="s">
        <v>131</v>
      </c>
      <c r="D24" s="57" t="s">
        <v>91</v>
      </c>
    </row>
    <row r="25" spans="1:4" x14ac:dyDescent="0.3">
      <c r="A25" s="57" t="s">
        <v>132</v>
      </c>
      <c r="B25" s="57" t="s">
        <v>133</v>
      </c>
      <c r="C25" s="57" t="s">
        <v>134</v>
      </c>
      <c r="D25" s="57" t="s">
        <v>91</v>
      </c>
    </row>
    <row r="26" spans="1:4" x14ac:dyDescent="0.3">
      <c r="A26" s="57"/>
      <c r="B26" s="57"/>
      <c r="C26" s="57"/>
      <c r="D26" s="57"/>
    </row>
    <row r="27" spans="1:4" x14ac:dyDescent="0.3">
      <c r="A27" s="58" t="s">
        <v>135</v>
      </c>
      <c r="B27" s="57"/>
      <c r="C27" s="57"/>
      <c r="D27" s="57"/>
    </row>
    <row r="28" spans="1:4" ht="28.8" x14ac:dyDescent="0.3">
      <c r="A28" s="59" t="s">
        <v>136</v>
      </c>
      <c r="B28" s="57" t="s">
        <v>137</v>
      </c>
      <c r="C28" s="57"/>
      <c r="D28" s="57" t="s">
        <v>138</v>
      </c>
    </row>
    <row r="29" spans="1:4" x14ac:dyDescent="0.3">
      <c r="A29" s="59" t="s">
        <v>139</v>
      </c>
      <c r="B29" s="57" t="s">
        <v>140</v>
      </c>
      <c r="C29" s="57"/>
      <c r="D29" s="57" t="s">
        <v>141</v>
      </c>
    </row>
    <row r="30" spans="1:4" x14ac:dyDescent="0.3">
      <c r="A30" s="59" t="s">
        <v>142</v>
      </c>
      <c r="B30" s="57" t="s">
        <v>143</v>
      </c>
      <c r="C30" s="57"/>
      <c r="D30" s="57" t="s">
        <v>144</v>
      </c>
    </row>
    <row r="31" spans="1:4" x14ac:dyDescent="0.3">
      <c r="A31" s="59" t="s">
        <v>145</v>
      </c>
      <c r="B31" s="57" t="s">
        <v>146</v>
      </c>
      <c r="C31" s="57"/>
      <c r="D31" s="57" t="s">
        <v>147</v>
      </c>
    </row>
    <row r="32" spans="1:4" x14ac:dyDescent="0.3">
      <c r="A32" s="59" t="s">
        <v>148</v>
      </c>
      <c r="B32" s="57" t="s">
        <v>149</v>
      </c>
      <c r="C32" s="57"/>
      <c r="D32" s="57" t="s">
        <v>150</v>
      </c>
    </row>
    <row r="33" spans="1:4" x14ac:dyDescent="0.3">
      <c r="A33" s="57"/>
      <c r="B33" s="57"/>
      <c r="C33" s="57"/>
      <c r="D33" s="57"/>
    </row>
    <row r="34" spans="1:4" x14ac:dyDescent="0.3">
      <c r="A34" s="58" t="s">
        <v>151</v>
      </c>
      <c r="B34" s="57"/>
      <c r="C34" s="57"/>
      <c r="D34" s="57"/>
    </row>
    <row r="35" spans="1:4" x14ac:dyDescent="0.3">
      <c r="A35" s="60" t="s">
        <v>152</v>
      </c>
      <c r="B35" s="57"/>
      <c r="C35" s="57"/>
      <c r="D35" s="57"/>
    </row>
    <row r="36" spans="1:4" ht="28.8" x14ac:dyDescent="0.3">
      <c r="A36" s="57" t="s">
        <v>153</v>
      </c>
      <c r="B36" s="57"/>
      <c r="C36" s="57"/>
      <c r="D36" s="57"/>
    </row>
    <row r="37" spans="1:4" ht="28.8" x14ac:dyDescent="0.3">
      <c r="A37" s="57" t="s">
        <v>154</v>
      </c>
      <c r="B37" s="57"/>
      <c r="C37" s="57"/>
      <c r="D37" s="57"/>
    </row>
    <row r="38" spans="1:4" ht="28.8" x14ac:dyDescent="0.3">
      <c r="A38" s="57" t="s">
        <v>155</v>
      </c>
      <c r="B38" s="57"/>
      <c r="C38" s="57"/>
      <c r="D38" s="57"/>
    </row>
    <row r="39" spans="1:4" ht="28.8" x14ac:dyDescent="0.3">
      <c r="A39" s="57" t="s">
        <v>156</v>
      </c>
      <c r="B39" s="57"/>
      <c r="C39" s="57"/>
      <c r="D39" s="57"/>
    </row>
    <row r="40" spans="1:4" ht="43.2" x14ac:dyDescent="0.3">
      <c r="A40" s="57" t="s">
        <v>157</v>
      </c>
      <c r="B40" s="57"/>
      <c r="C40" s="57"/>
      <c r="D40" s="57"/>
    </row>
    <row r="41" spans="1:4" ht="28.8" x14ac:dyDescent="0.3">
      <c r="A41" s="57" t="s">
        <v>158</v>
      </c>
      <c r="B41" s="57"/>
      <c r="C41" s="57"/>
      <c r="D41" s="57"/>
    </row>
    <row r="42" spans="1:4" ht="43.2" x14ac:dyDescent="0.3">
      <c r="A42" s="57" t="s">
        <v>159</v>
      </c>
      <c r="B42" s="57"/>
      <c r="C42" s="57"/>
      <c r="D42" s="57"/>
    </row>
    <row r="43" spans="1:4" ht="43.2" x14ac:dyDescent="0.3">
      <c r="A43" s="57" t="s">
        <v>160</v>
      </c>
      <c r="B43" s="57"/>
      <c r="C43" s="57"/>
      <c r="D43" s="5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Phase1_NBFC_Data</vt:lpstr>
      <vt:lpstr>Summary Dashboard</vt:lpstr>
      <vt:lpstr>Data 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SHAKTHISHATVIKA S A</cp:lastModifiedBy>
  <cp:revision>0</cp:revision>
  <dcterms:created xsi:type="dcterms:W3CDTF">2026-05-27T11:22:35Z</dcterms:created>
  <dcterms:modified xsi:type="dcterms:W3CDTF">2026-05-28T04:19:40Z</dcterms:modified>
  <dc:language>en-US</dc:language>
</cp:coreProperties>
</file>